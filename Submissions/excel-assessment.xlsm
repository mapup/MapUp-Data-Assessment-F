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ftik\Assignment\MapUp-Data-Assessment-F\Submissions\"/>
    </mc:Choice>
  </mc:AlternateContent>
  <xr:revisionPtr revIDLastSave="0" documentId="13_ncr:1_{CE671041-F8FC-4407-ABBD-9737815B9A77}" xr6:coauthVersionLast="47" xr6:coauthVersionMax="47" xr10:uidLastSave="{00000000-0000-0000-0000-000000000000}"/>
  <bookViews>
    <workbookView xWindow="-108" yWindow="-108" windowWidth="23256" windowHeight="12456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C5" i="15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<sst xmlns="http://schemas.openxmlformats.org/spreadsheetml/2006/main" count="404" uniqueCount="181">
  <si>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</si>
  <si>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</si>
  <si>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</si>
  <si>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</si>
  <si>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</si>
  <si>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</si>
  <si>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</si>
  <si>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</si>
  <si>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</si>
  <si>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</si>
  <si>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</si>
  <si>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</si>
  <si>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</si>
  <si>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</si>
  <si>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</si>
  <si>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</si>
  <si>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</si>
  <si>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</si>
  <si>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</si>
  <si>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</si>
  <si>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</si>
  <si>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</si>
  <si>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</si>
  <si>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</si>
  <si>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</si>
  <si>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</si>
  <si>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</si>
  <si>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</si>
  <si>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</si>
  <si>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</si>
  <si>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</si>
  <si>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</si>
  <si>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</si>
  <si>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</si>
  <si>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</si>
  <si>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</si>
  <si>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</si>
  <si>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</si>
  <si>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</si>
  <si>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</si>
  <si>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</si>
  <si>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</si>
  <si>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</si>
  <si>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</si>
  <si>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</si>
  <si>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</si>
  <si>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</si>
  <si>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</si>
  <si>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</si>
  <si>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</si>
  <si>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</si>
  <si>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</si>
  <si>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</si>
  <si>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</si>
  <si>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</si>
  <si>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</si>
  <si>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</si>
  <si>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</si>
  <si>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</si>
  <si>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</si>
  <si>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</si>
  <si>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</si>
  <si>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</si>
  <si>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</si>
  <si>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</si>
  <si>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</si>
  <si>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</si>
  <si>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</si>
  <si>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</si>
  <si>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</si>
  <si>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</si>
  <si>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</si>
  <si>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</si>
  <si>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</si>
  <si>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</si>
  <si>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</si>
  <si>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</si>
  <si>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</si>
  <si>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</si>
  <si>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</si>
  <si>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</si>
  <si>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</si>
  <si>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</si>
  <si>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</si>
  <si>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</si>
  <si>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</si>
  <si>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</si>
  <si>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</si>
  <si>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</si>
  <si>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</si>
  <si>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</si>
  <si>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</si>
  <si>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</si>
  <si>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</si>
  <si>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</si>
  <si>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</si>
  <si>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</si>
  <si>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</si>
  <si>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</si>
  <si>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</si>
  <si>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</si>
  <si>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</si>
  <si>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</si>
  <si>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</si>
  <si>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</si>
  <si>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</si>
  <si>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</si>
  <si>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</si>
  <si>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</si>
  <si>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</si>
  <si>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</si>
  <si>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</si>
  <si>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</si>
  <si>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</si>
  <si>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</si>
  <si>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</si>
  <si>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</si>
  <si>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</si>
  <si>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</si>
  <si>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</si>
  <si>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</si>
  <si>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</si>
  <si>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</si>
  <si>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</si>
  <si>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</si>
  <si>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</si>
  <si>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</si>
  <si>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</si>
  <si>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</si>
  <si>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</si>
  <si>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</si>
  <si>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</si>
  <si>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</si>
  <si>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</si>
  <si>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</si>
  <si>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</si>
  <si>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</si>
  <si>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</si>
  <si>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</si>
  <si>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</si>
  <si>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</si>
  <si>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</si>
  <si>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</si>
  <si>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</si>
  <si>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</si>
  <si>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</si>
  <si>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</si>
  <si>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</si>
  <si>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</si>
  <si>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</si>
  <si>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</si>
  <si>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</si>
  <si>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</si>
  <si>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</si>
  <si>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</si>
  <si>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</si>
  <si>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</si>
  <si>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</si>
  <si>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</si>
  <si>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</si>
  <si>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</si>
  <si>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</si>
  <si>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</si>
  <si>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</si>
  <si>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</si>
  <si>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</si>
  <si>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</si>
  <si>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</si>
  <si>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</si>
  <si>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</si>
  <si>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</si>
  <si>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</si>
  <si>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</si>
  <si>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</si>
  <si>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</si>
  <si>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</si>
  <si>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</si>
  <si>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Find and Replace</t>
  </si>
  <si>
    <t>Excel formula (combining INDEX, MATCH, and IF functions). =IF(AND(A23&lt;&gt;"", B23&lt;&gt;""), INDEX($A$9:$J$18, MATCH(INDEX($N$10:$N$18, MATCH(A23, $M$10:$M$18, 0)), $A$9:$A$18, 0), MATCH(INDEX($N$10:$N$18, MATCH(B23, $M$10:$M$18, 0)), $A$9:$J$9, 0)), "")</t>
  </si>
  <si>
    <r>
      <t xml:space="preserve">This Excel formula checks if cells A23 and B23 are not empty using </t>
    </r>
    <r>
      <rPr>
        <sz val="8.75"/>
        <color rgb="FF374151"/>
        <rFont val="Courier New"/>
        <family val="3"/>
      </rPr>
      <t>IF(AND(A23&lt;&gt;"", B23&lt;&gt;"")</t>
    </r>
    <r>
      <rPr>
        <sz val="10"/>
        <color rgb="FF374151"/>
        <rFont val="Segoe UI"/>
        <family val="2"/>
      </rPr>
      <t xml:space="preserve">. If they contain data, the formula uses </t>
    </r>
    <r>
      <rPr>
        <sz val="8.75"/>
        <color rgb="FF374151"/>
        <rFont val="Courier New"/>
        <family val="3"/>
      </rPr>
      <t>INDEX</t>
    </r>
    <r>
      <rPr>
        <sz val="10"/>
        <color rgb="FF374151"/>
        <rFont val="Segoe UI"/>
        <family val="2"/>
      </rPr>
      <t xml:space="preserve"> and </t>
    </r>
    <r>
      <rPr>
        <sz val="8.75"/>
        <color rgb="FF374151"/>
        <rFont val="Courier New"/>
        <family val="3"/>
      </rPr>
      <t>MATCH</t>
    </r>
    <r>
      <rPr>
        <sz val="10"/>
        <color rgb="FF374151"/>
        <rFont val="Segoe UI"/>
        <family val="2"/>
      </rPr>
      <t xml:space="preserve"> functions to find and retrieve a specific value from a defined range ($A$9:$J$18).</t>
    </r>
    <r>
      <rPr>
        <sz val="11"/>
        <color rgb="FF000000"/>
        <rFont val="Calibri"/>
        <family val="2"/>
        <scheme val="minor"/>
      </rPr>
      <t>It matches the names in A23 and B23 with their corresponding IDs in Table_B, and then finds the respective positions (row and column) in Table_A. Finally, it extracts the value at the intersection of these positions in Table_A, presenting the relationship or distance between the provided names.</t>
    </r>
  </si>
  <si>
    <t>I used the 'Find and Replace' feature to locate instances of #N/A values and subsequently replaced all occurrences of #N/A with the value 20 across the designated range.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</si>
</sst>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74151"/>
      <name val="Segoe UI"/>
      <family val="2"/>
    </font>
    <font>
      <sz val="8.75"/>
      <color rgb="FF37415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7" fillId="0" borderId="7" xfId="0" applyFont="1" applyBorder="1"/>
    <xf numFmtId="0" fontId="18" fillId="0" borderId="0" xfId="0" applyFont="1"/>
    <xf numFmtId="0" fontId="8" fillId="0" borderId="0" xfId="0" applyFont="1" applyAlignment="1">
      <alignment wrapText="1"/>
    </xf>
    <xf numFmtId="0" fontId="19" fillId="0" borderId="0" xfId="0" applyFont="1" applyAlignment="1">
      <alignment vertic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opLeftCell="A2" zoomScaleNormal="100" workbookViewId="0">
      <selection activeCell="A21" sqref="A21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J1" zoomScaleNormal="100" workbookViewId="0">
      <pane ySplit="1" topLeftCell="A2" activePane="bottomLeft" state="frozen"/>
      <selection pane="bottomLeft" activeCell="N17" sqref="N17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SUMIF(Dataset!H2:H40, 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3" zoomScaleNormal="100" workbookViewId="0">
      <selection activeCell="D32" sqref="D32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VLOOKUP(A6,Dataset!A1:X40,7,0)</f>
        <v>2.7</v>
      </c>
      <c r="C6" s="12">
        <f>VLOOKUP(A6,Dataset!A1:X40,14,0)</f>
        <v>7.6</v>
      </c>
      <c r="D6" s="12">
        <f>VLOOKUP(A6,Dataset!A1:X40,17,0)</f>
        <v>3.6</v>
      </c>
      <c r="E6" s="12">
        <f>VLOOKUP(A6,Dataset!A1:X40,20,0)</f>
        <v>8.9</v>
      </c>
      <c r="F6" s="8">
        <f>VLOOKUP(A6,Dataset!A1:X40,22,0)</f>
        <v>4.2</v>
      </c>
    </row>
    <row r="7" spans="1:7" ht="14.4" x14ac:dyDescent="0.3">
      <c r="A7" s="7" t="s">
        <v>4</v>
      </c>
      <c r="B7" s="12">
        <f>VLOOKUP(A7,Dataset!A2:X41,7,0)</f>
        <v>2.7</v>
      </c>
      <c r="C7" s="12">
        <f>VLOOKUP(A7,Dataset!A2:X41,14,0)</f>
        <v>7.6</v>
      </c>
      <c r="D7" s="12">
        <f>VLOOKUP(A7,Dataset!A2:X41,17,0)</f>
        <v>3.6</v>
      </c>
      <c r="E7" s="12">
        <f>VLOOKUP(A7,Dataset!A2:X41,20,0)</f>
        <v>8.9</v>
      </c>
      <c r="F7" s="8">
        <f>VLOOKUP(A7,Dataset!A2:X41,22,0)</f>
        <v>4.2</v>
      </c>
    </row>
    <row r="8" spans="1:7" ht="14.4" x14ac:dyDescent="0.3">
      <c r="A8" s="7" t="s">
        <v>7</v>
      </c>
      <c r="B8" s="12">
        <f>VLOOKUP(A8,Dataset!A3:X42,7,0)</f>
        <v>3.6</v>
      </c>
      <c r="C8" s="12">
        <f>VLOOKUP(A8,Dataset!A3:X42,14,0)</f>
        <v>11.1</v>
      </c>
      <c r="D8" s="12">
        <f>VLOOKUP(A8,Dataset!A3:X42,17,0)</f>
        <v>5.4</v>
      </c>
      <c r="E8" s="12">
        <f>VLOOKUP(A8,Dataset!A3:X42,20,0)</f>
        <v>12.2</v>
      </c>
      <c r="F8" s="8">
        <f>VLOOKUP(A8,Dataset!A3:X42,22,0)</f>
        <v>5.8</v>
      </c>
    </row>
    <row r="9" spans="1:7" ht="14.4" x14ac:dyDescent="0.3">
      <c r="A9" s="7" t="s">
        <v>8</v>
      </c>
      <c r="B9" s="12">
        <f>VLOOKUP(A9,Dataset!A4:X43,7,0)</f>
        <v>4.9000000000000004</v>
      </c>
      <c r="C9" s="12">
        <f>VLOOKUP(A9,Dataset!A4:X43,14,0)</f>
        <v>13.3</v>
      </c>
      <c r="D9" s="12">
        <f>VLOOKUP(A9,Dataset!A4:X43,17,0)</f>
        <v>6.6</v>
      </c>
      <c r="E9" s="12">
        <f>VLOOKUP(A9,Dataset!A4:X43,20,0)</f>
        <v>17</v>
      </c>
      <c r="F9" s="8">
        <f>VLOOKUP(A9,Dataset!A4:X43,22,0)</f>
        <v>8.1</v>
      </c>
    </row>
    <row r="10" spans="1:7" ht="14.4" x14ac:dyDescent="0.3">
      <c r="A10" s="7" t="s">
        <v>11</v>
      </c>
      <c r="B10" s="12">
        <f>VLOOKUP(A10,Dataset!A5:X44,7,0)</f>
        <v>9.4</v>
      </c>
      <c r="C10" s="12">
        <f>VLOOKUP(A10,Dataset!A5:X44,14,0)</f>
        <v>28.3</v>
      </c>
      <c r="D10" s="12">
        <f>VLOOKUP(A10,Dataset!A5:X44,17,0)</f>
        <v>13.8</v>
      </c>
      <c r="E10" s="12">
        <f>VLOOKUP(A10,Dataset!A5:X44,20,0)</f>
        <v>32.799999999999997</v>
      </c>
      <c r="F10" s="8">
        <f>VLOOKUP(A10,Dataset!A5:X44,22,0)</f>
        <v>16.100000000000001</v>
      </c>
    </row>
    <row r="11" spans="1:7" ht="14.4" x14ac:dyDescent="0.3">
      <c r="A11" s="7" t="s">
        <v>12</v>
      </c>
      <c r="B11" s="12">
        <f>VLOOKUP(A11,Dataset!A6:X45,7,0)</f>
        <v>11.6</v>
      </c>
      <c r="C11" s="12">
        <f>VLOOKUP(A11,Dataset!A6:X45,14,0)</f>
        <v>35.200000000000003</v>
      </c>
      <c r="D11" s="12">
        <f>VLOOKUP(A11,Dataset!A6:X45,17,0)</f>
        <v>17.3</v>
      </c>
      <c r="E11" s="12">
        <f>VLOOKUP(A11,Dataset!A6:X45,20,0)</f>
        <v>43</v>
      </c>
      <c r="F11" s="8">
        <f>VLOOKUP(A11,Dataset!A6:X45,22,0)</f>
        <v>21.3</v>
      </c>
    </row>
    <row r="12" spans="1:7" ht="14.4" x14ac:dyDescent="0.3">
      <c r="A12" s="7" t="s">
        <v>14</v>
      </c>
      <c r="B12" s="12">
        <f>VLOOKUP(A12,Dataset!A7:X46,7,0)</f>
        <v>18.399999999999999</v>
      </c>
      <c r="C12" s="12">
        <f>VLOOKUP(A12,Dataset!A7:X46,14,0)</f>
        <v>55.6</v>
      </c>
      <c r="D12" s="12">
        <f>VLOOKUP(A12,Dataset!A7:X46,17,0)</f>
        <v>27.5</v>
      </c>
      <c r="E12" s="12">
        <f>VLOOKUP(A12,Dataset!A7:X46,20,0)</f>
        <v>67.900000000000006</v>
      </c>
      <c r="F12" s="8">
        <f>VLOOKUP(A12,Dataset!A7:X46,22,0)</f>
        <v>33.799999999999997</v>
      </c>
    </row>
    <row r="13" spans="1:7" ht="14.4" x14ac:dyDescent="0.3">
      <c r="A13" s="7" t="s">
        <v>15</v>
      </c>
      <c r="B13" s="12">
        <f>VLOOKUP(A13,Dataset!A8:X47,7,0)</f>
        <v>0</v>
      </c>
      <c r="C13" s="12">
        <f>VLOOKUP(A13,Dataset!A8:X47,14,0)</f>
        <v>0</v>
      </c>
      <c r="D13" s="12">
        <f>VLOOKUP(A13,Dataset!A8:X47,17,0)</f>
        <v>0</v>
      </c>
      <c r="E13" s="12">
        <f>VLOOKUP(A13,Dataset!A8:X47,20,0)</f>
        <v>0</v>
      </c>
      <c r="F13" s="8">
        <f>VLOOKUP(A13,Dataset!A8:X47,22,0)</f>
        <v>0</v>
      </c>
    </row>
    <row r="14" spans="1:7" ht="14.4" x14ac:dyDescent="0.3">
      <c r="A14" s="7" t="s">
        <v>16</v>
      </c>
      <c r="B14" s="12">
        <f>VLOOKUP(A14,Dataset!A9:X48,7,0)</f>
        <v>21.9</v>
      </c>
      <c r="C14" s="12">
        <f>VLOOKUP(A14,Dataset!A9:X48,14,0)</f>
        <v>61.5</v>
      </c>
      <c r="D14" s="12">
        <f>VLOOKUP(A14,Dataset!A9:X48,17,0)</f>
        <v>32.1</v>
      </c>
      <c r="E14" s="12">
        <f>VLOOKUP(A14,Dataset!A9:X48,20,0)</f>
        <v>76.599999999999994</v>
      </c>
      <c r="F14" s="8">
        <f>VLOOKUP(A14,Dataset!A9:X48,22,0)</f>
        <v>40.1</v>
      </c>
    </row>
    <row r="15" spans="1:7" ht="14.4" x14ac:dyDescent="0.3">
      <c r="A15" s="7" t="s">
        <v>18</v>
      </c>
      <c r="B15" s="12">
        <f>VLOOKUP(A15,Dataset!A10:X49,7,0)</f>
        <v>26.8</v>
      </c>
      <c r="C15" s="12">
        <f>VLOOKUP(A15,Dataset!A10:X49,14,0)</f>
        <v>79.599999999999994</v>
      </c>
      <c r="D15" s="12">
        <f>VLOOKUP(A15,Dataset!A10:X49,17,0)</f>
        <v>39.299999999999997</v>
      </c>
      <c r="E15" s="12">
        <f>VLOOKUP(A15,Dataset!A10:X49,20,0)</f>
        <v>96.8</v>
      </c>
      <c r="F15" s="8">
        <f>VLOOKUP(A15,Dataset!A10:X49,22,0)</f>
        <v>47.9</v>
      </c>
    </row>
    <row r="16" spans="1:7" ht="14.4" x14ac:dyDescent="0.3">
      <c r="A16" s="7" t="s">
        <v>20</v>
      </c>
      <c r="B16" s="12">
        <f>VLOOKUP(A16,Dataset!A11:X50,7,0)</f>
        <v>28.5</v>
      </c>
      <c r="C16" s="12">
        <f>VLOOKUP(A16,Dataset!A11:X50,14,0)</f>
        <v>85.4</v>
      </c>
      <c r="D16" s="12">
        <f>VLOOKUP(A16,Dataset!A11:X50,17,0)</f>
        <v>42.3</v>
      </c>
      <c r="E16" s="12">
        <f>VLOOKUP(A16,Dataset!A11:X50,20,0)</f>
        <v>106.1</v>
      </c>
      <c r="F16" s="8">
        <f>VLOOKUP(A16,Dataset!A11:X50,22,0)</f>
        <v>52.3</v>
      </c>
    </row>
    <row r="17" spans="1:6" ht="14.4" x14ac:dyDescent="0.3">
      <c r="A17" s="7" t="s">
        <v>22</v>
      </c>
      <c r="B17" s="12">
        <f>VLOOKUP(A17,Dataset!A12:X51,7,0)</f>
        <v>30.7</v>
      </c>
      <c r="C17" s="12">
        <f>VLOOKUP(A17,Dataset!A12:X51,14,0)</f>
        <v>92.1</v>
      </c>
      <c r="D17" s="12">
        <f>VLOOKUP(A17,Dataset!A12:X51,17,0)</f>
        <v>45.5</v>
      </c>
      <c r="E17" s="12">
        <f>VLOOKUP(A17,Dataset!A12:X51,20,0)</f>
        <v>115.1</v>
      </c>
      <c r="F17" s="8">
        <f>VLOOKUP(A17,Dataset!A12:X51,22,0)</f>
        <v>57</v>
      </c>
    </row>
    <row r="18" spans="1:6" ht="14.4" x14ac:dyDescent="0.3">
      <c r="A18" s="7" t="s">
        <v>23</v>
      </c>
      <c r="B18" s="12">
        <f>VLOOKUP(A18,Dataset!A13:X52,7,0)</f>
        <v>33.799999999999997</v>
      </c>
      <c r="C18" s="12">
        <f>VLOOKUP(A18,Dataset!A13:X52,14,0)</f>
        <v>101.3</v>
      </c>
      <c r="D18" s="12">
        <f>VLOOKUP(A18,Dataset!A13:X52,17,0)</f>
        <v>50.1</v>
      </c>
      <c r="E18" s="12">
        <f>VLOOKUP(A18,Dataset!A13:X52,20,0)</f>
        <v>124.4</v>
      </c>
      <c r="F18" s="8">
        <f>VLOOKUP(A18,Dataset!A13:X52,22,0)</f>
        <v>61.4</v>
      </c>
    </row>
    <row r="19" spans="1:6" ht="14.4" x14ac:dyDescent="0.3">
      <c r="A19" s="7" t="s">
        <v>24</v>
      </c>
      <c r="B19" s="12">
        <f>VLOOKUP(A19,Dataset!A14:X53,7,0)</f>
        <v>34.700000000000003</v>
      </c>
      <c r="C19" s="12">
        <f>VLOOKUP(A19,Dataset!A14:X53,14,0)</f>
        <v>106.1</v>
      </c>
      <c r="D19" s="12">
        <f>VLOOKUP(A19,Dataset!A14:X53,17,0)</f>
        <v>52.3</v>
      </c>
      <c r="E19" s="12">
        <f>VLOOKUP(A19,Dataset!A14:X53,20,0)</f>
        <v>128.6</v>
      </c>
      <c r="F19" s="8">
        <f>VLOOKUP(A19,Dataset!A14:X53,22,0)</f>
        <v>63.6</v>
      </c>
    </row>
    <row r="20" spans="1:6" ht="14.4" x14ac:dyDescent="0.3">
      <c r="A20" s="7" t="s">
        <v>28</v>
      </c>
      <c r="B20" s="12">
        <f>VLOOKUP(A20,Dataset!A15:X54,7,0)</f>
        <v>0</v>
      </c>
      <c r="C20" s="12">
        <f>VLOOKUP(A20,Dataset!A15:X54,14,0)</f>
        <v>0</v>
      </c>
      <c r="D20" s="12">
        <f>VLOOKUP(A20,Dataset!A15:X54,17,0)</f>
        <v>0</v>
      </c>
      <c r="E20" s="12">
        <f>VLOOKUP(A20,Dataset!A15:X54,20,0)</f>
        <v>0</v>
      </c>
      <c r="F20" s="8">
        <f>VLOOKUP(A20,Dataset!A15:X54,22,0)</f>
        <v>0</v>
      </c>
    </row>
    <row r="21" spans="1:6" ht="14.4" x14ac:dyDescent="0.3">
      <c r="A21" s="7" t="s">
        <v>57</v>
      </c>
      <c r="B21" s="12">
        <f>VLOOKUP(A21,Dataset!A16:X55,7,0)</f>
        <v>41.3</v>
      </c>
      <c r="C21" s="12">
        <f>VLOOKUP(A21,Dataset!A16:X55,14,0)</f>
        <v>124.4</v>
      </c>
      <c r="D21" s="12">
        <f>VLOOKUP(A21,Dataset!A16:X55,17,0)</f>
        <v>61.4</v>
      </c>
      <c r="E21" s="12">
        <f>VLOOKUP(A21,Dataset!A16:X55,20,0)</f>
        <v>151.5</v>
      </c>
      <c r="F21" s="8">
        <f>VLOOKUP(A21,Dataset!A16:X55,22,0)</f>
        <v>75</v>
      </c>
    </row>
    <row r="22" spans="1:6" ht="14.4" x14ac:dyDescent="0.3">
      <c r="A22" s="7" t="s">
        <v>58</v>
      </c>
      <c r="B22" s="12">
        <f>VLOOKUP(A22,Dataset!A17:X56,7,0)</f>
        <v>-1</v>
      </c>
      <c r="C22" s="12">
        <f>VLOOKUP(A22,Dataset!A17:X56,14,0)</f>
        <v>-1</v>
      </c>
      <c r="D22" s="12">
        <f>VLOOKUP(A22,Dataset!A17:X56,17,0)</f>
        <v>-1</v>
      </c>
      <c r="E22" s="12">
        <f>VLOOKUP(A22,Dataset!A17:X56,20,0)</f>
        <v>-1</v>
      </c>
      <c r="F22" s="8">
        <f>VLOOKUP(A22,Dataset!A17:X56,22,0)</f>
        <v>-1</v>
      </c>
    </row>
    <row r="23" spans="1:6" ht="14.4" x14ac:dyDescent="0.3">
      <c r="A23" s="7" t="s">
        <v>31</v>
      </c>
      <c r="B23" s="12">
        <f>VLOOKUP(A23,Dataset!A18:X57,7,0)</f>
        <v>45</v>
      </c>
      <c r="C23" s="12">
        <f>VLOOKUP(A23,Dataset!A18:X57,14,0)</f>
        <v>133.4</v>
      </c>
      <c r="D23" s="12">
        <f>VLOOKUP(A23,Dataset!A18:X57,17,0)</f>
        <v>65.900000000000006</v>
      </c>
      <c r="E23" s="12">
        <f>VLOOKUP(A23,Dataset!A18:X57,20,0)</f>
        <v>160.9</v>
      </c>
      <c r="F23" s="8">
        <f>VLOOKUP(A23,Dataset!A18:X57,22,0)</f>
        <v>79.400000000000006</v>
      </c>
    </row>
    <row r="24" spans="1:6" ht="14.4" x14ac:dyDescent="0.3">
      <c r="A24" s="7" t="s">
        <v>32</v>
      </c>
      <c r="B24" s="12">
        <f>VLOOKUP(A24,Dataset!A19:X58,7,0)</f>
        <v>-1</v>
      </c>
      <c r="C24" s="12">
        <f>VLOOKUP(A24,Dataset!A19:X58,14,0)</f>
        <v>-1</v>
      </c>
      <c r="D24" s="12">
        <f>VLOOKUP(A24,Dataset!A19:X58,17,0)</f>
        <v>-1</v>
      </c>
      <c r="E24" s="12">
        <f>VLOOKUP(A24,Dataset!A19:X58,20,0)</f>
        <v>-1</v>
      </c>
      <c r="F24" s="8">
        <f>VLOOKUP(A24,Dataset!A19:X58,22,0)</f>
        <v>-1</v>
      </c>
    </row>
    <row r="25" spans="1:6" ht="14.4" x14ac:dyDescent="0.3">
      <c r="A25" s="7" t="s">
        <v>34</v>
      </c>
      <c r="B25" s="12">
        <f>VLOOKUP(A25,Dataset!A20:X59,7,0)</f>
        <v>43.3</v>
      </c>
      <c r="C25" s="12">
        <f>VLOOKUP(A25,Dataset!A20:X59,14,0)</f>
        <v>128.6</v>
      </c>
      <c r="D25" s="12">
        <f>VLOOKUP(A25,Dataset!A20:X59,17,0)</f>
        <v>63.6</v>
      </c>
      <c r="E25" s="12">
        <f>VLOOKUP(A25,Dataset!A20:X59,20,0)</f>
        <v>160.9</v>
      </c>
      <c r="F25" s="8">
        <f>VLOOKUP(A25,Dataset!A20:X59,22,0)</f>
        <v>79.400000000000006</v>
      </c>
    </row>
    <row r="26" spans="1:6" ht="14.4" x14ac:dyDescent="0.3">
      <c r="A26" s="7" t="s">
        <v>37</v>
      </c>
      <c r="B26" s="12">
        <f>VLOOKUP(A26,Dataset!A21:X60,7,0)</f>
        <v>49.1</v>
      </c>
      <c r="C26" s="12">
        <f>VLOOKUP(A26,Dataset!A21:X60,14,0)</f>
        <v>146.80000000000001</v>
      </c>
      <c r="D26" s="12">
        <f>VLOOKUP(A26,Dataset!A21:X60,17,0)</f>
        <v>72.8</v>
      </c>
      <c r="E26" s="12">
        <f>VLOOKUP(A26,Dataset!A21:X60,20,0)</f>
        <v>183.5</v>
      </c>
      <c r="F26" s="8">
        <f>VLOOKUP(A26,Dataset!A21:X60,22,0)</f>
        <v>90.9</v>
      </c>
    </row>
    <row r="27" spans="1:6" ht="14.4" x14ac:dyDescent="0.3">
      <c r="A27" s="7" t="s">
        <v>39</v>
      </c>
      <c r="B27" s="12">
        <f>VLOOKUP(A27,Dataset!A22:X61,7,0)</f>
        <v>51.8</v>
      </c>
      <c r="C27" s="12">
        <f>VLOOKUP(A27,Dataset!A22:X61,14,0)</f>
        <v>156.4</v>
      </c>
      <c r="D27" s="12">
        <f>VLOOKUP(A27,Dataset!A22:X61,17,0)</f>
        <v>77.2</v>
      </c>
      <c r="E27" s="12">
        <f>VLOOKUP(A27,Dataset!A22:X61,20,0)</f>
        <v>188.1</v>
      </c>
      <c r="F27" s="8">
        <f>VLOOKUP(A27,Dataset!A22:X61,22,0)</f>
        <v>93.1</v>
      </c>
    </row>
    <row r="28" spans="1:6" ht="14.4" x14ac:dyDescent="0.3">
      <c r="A28" s="19" t="s">
        <v>82</v>
      </c>
      <c r="B28" s="45">
        <f>MIN(B6:B27)</f>
        <v>-1</v>
      </c>
      <c r="C28" s="45">
        <f t="shared" ref="C28:F28" si="0">MIN(C6:C27)</f>
        <v>-1</v>
      </c>
      <c r="D28" s="45">
        <f t="shared" si="0"/>
        <v>-1</v>
      </c>
      <c r="E28" s="45">
        <f t="shared" si="0"/>
        <v>-1</v>
      </c>
      <c r="F28" s="45">
        <f t="shared" si="0"/>
        <v>-1</v>
      </c>
    </row>
    <row r="29" spans="1:6" ht="14.4" x14ac:dyDescent="0.3">
      <c r="A29" s="19" t="s">
        <v>83</v>
      </c>
      <c r="B29" s="45">
        <f>MAX(B6:B27)</f>
        <v>51.8</v>
      </c>
      <c r="C29" s="45">
        <f t="shared" ref="C29:F29" si="1">MAX(C6:C27)</f>
        <v>156.4</v>
      </c>
      <c r="D29" s="45">
        <f t="shared" si="1"/>
        <v>77.2</v>
      </c>
      <c r="E29" s="45">
        <f t="shared" si="1"/>
        <v>188.1</v>
      </c>
      <c r="F29" s="45">
        <f t="shared" si="1"/>
        <v>93.1</v>
      </c>
    </row>
    <row r="30" spans="1:6" ht="14.4" x14ac:dyDescent="0.3">
      <c r="A30" s="19" t="s">
        <v>84</v>
      </c>
      <c r="B30" s="45">
        <f>AVERAGE(B6:B27)</f>
        <v>20.827272727272728</v>
      </c>
      <c r="C30" s="45">
        <f t="shared" ref="C30:F30" si="2">AVERAGE(C6:C27)</f>
        <v>62.377272727272725</v>
      </c>
      <c r="D30" s="45">
        <f t="shared" si="2"/>
        <v>30.831818181818186</v>
      </c>
      <c r="E30" s="45">
        <f t="shared" si="2"/>
        <v>76.418181818181822</v>
      </c>
      <c r="F30" s="45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6" zoomScaleNormal="100" workbookViewId="0">
      <selection activeCell="G30" sqref="G30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8" t="s">
        <v>165</v>
      </c>
      <c r="I9" s="2"/>
      <c r="J9" s="2"/>
    </row>
    <row r="10" spans="1:10" x14ac:dyDescent="0.3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abSelected="1" topLeftCell="A2" zoomScaleNormal="100" workbookViewId="0">
      <selection activeCell="C10" sqref="C10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177</v>
      </c>
    </row>
    <row r="7" spans="1:3" ht="14.4" x14ac:dyDescent="0.3">
      <c r="A7" s="3" t="s">
        <v>153</v>
      </c>
      <c r="B7" s="46" t="s">
        <v>180</v>
      </c>
    </row>
    <row r="10" spans="1:3" ht="23.4" x14ac:dyDescent="0.45">
      <c r="A10" s="18" t="s">
        <v>162</v>
      </c>
    </row>
    <row r="11" spans="1:3" ht="14.4" x14ac:dyDescent="0.3">
      <c r="A11" s="31" t="s">
        <v>86</v>
      </c>
      <c r="B11" s="17" t="s">
        <v>87</v>
      </c>
      <c r="C11" s="17" t="s">
        <v>88</v>
      </c>
    </row>
    <row r="12" spans="1:3" ht="14.4" x14ac:dyDescent="0.3">
      <c r="A12" s="31">
        <v>44927</v>
      </c>
      <c r="B12" s="17" t="s">
        <v>59</v>
      </c>
      <c r="C12" s="17">
        <v>200</v>
      </c>
    </row>
    <row r="13" spans="1:3" ht="14.4" x14ac:dyDescent="0.3">
      <c r="A13" s="31">
        <v>44928</v>
      </c>
      <c r="B13" s="17" t="s">
        <v>60</v>
      </c>
      <c r="C13" s="17">
        <v>20</v>
      </c>
    </row>
    <row r="14" spans="1:3" ht="14.4" x14ac:dyDescent="0.3">
      <c r="A14" s="31">
        <v>44929</v>
      </c>
      <c r="B14" s="17" t="s">
        <v>61</v>
      </c>
      <c r="C14" s="17">
        <v>50</v>
      </c>
    </row>
    <row r="15" spans="1:3" ht="14.4" x14ac:dyDescent="0.3">
      <c r="A15" s="31">
        <v>44930</v>
      </c>
      <c r="B15" s="17" t="s">
        <v>62</v>
      </c>
      <c r="C15" s="17">
        <v>20</v>
      </c>
    </row>
    <row r="16" spans="1:3" ht="14.4" x14ac:dyDescent="0.3">
      <c r="A16" s="31">
        <v>44931</v>
      </c>
      <c r="B16" s="17" t="s">
        <v>63</v>
      </c>
      <c r="C16" s="17">
        <v>10</v>
      </c>
    </row>
    <row r="17" spans="1:3" ht="14.4" x14ac:dyDescent="0.3">
      <c r="A17" s="31">
        <v>44932</v>
      </c>
      <c r="B17" s="17" t="s">
        <v>154</v>
      </c>
      <c r="C17" s="17">
        <v>150</v>
      </c>
    </row>
    <row r="18" spans="1:3" ht="14.4" x14ac:dyDescent="0.3">
      <c r="A18" s="31">
        <v>44933</v>
      </c>
      <c r="B18" s="17" t="s">
        <v>155</v>
      </c>
      <c r="C18" s="17">
        <v>80</v>
      </c>
    </row>
    <row r="19" spans="1:3" ht="14.4" x14ac:dyDescent="0.3">
      <c r="A19" s="31">
        <v>44934</v>
      </c>
      <c r="B19" s="17" t="s">
        <v>156</v>
      </c>
      <c r="C19" s="17">
        <v>20</v>
      </c>
    </row>
    <row r="20" spans="1:3" ht="14.4" x14ac:dyDescent="0.3">
      <c r="A20" s="31">
        <v>44935</v>
      </c>
      <c r="B20" s="17" t="s">
        <v>157</v>
      </c>
      <c r="C20" s="17">
        <v>30</v>
      </c>
    </row>
    <row r="21" spans="1:3" ht="14.4" x14ac:dyDescent="0.3">
      <c r="A21" s="31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D6" sqref="D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 t="s">
        <v>178</v>
      </c>
    </row>
    <row r="5" spans="1:14" ht="18" x14ac:dyDescent="0.35">
      <c r="A5" s="42" t="s">
        <v>153</v>
      </c>
      <c r="B5" s="1" t="s">
        <v>179</v>
      </c>
    </row>
    <row r="6" spans="1:14" ht="14.4" x14ac:dyDescent="0.3">
      <c r="A6" s="3"/>
      <c r="B6"/>
    </row>
    <row r="7" spans="1:14" ht="15" x14ac:dyDescent="0.3">
      <c r="B7" s="48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>
        <f>IF(AND(A23&lt;&gt;"", B23&lt;&gt;""), INDEX($A$9:$J$18, MATCH(INDEX($N$10:$N$18, MATCH(A23, $M$10:$M$18, 0)), $A$9:$A$18, 0), MATCH(INDEX($N$10:$N$18, MATCH(B23, $M$10:$M$18, 0)), $A$9:$J$9, 0)), "")</f>
        <v>95</v>
      </c>
      <c r="D23" s="47"/>
    </row>
    <row r="24" spans="1:14" ht="14.4" x14ac:dyDescent="0.3">
      <c r="A24" s="7">
        <v>10100</v>
      </c>
      <c r="B24" s="12">
        <v>10104</v>
      </c>
      <c r="C24" s="43">
        <f t="shared" ref="C24:C35" si="0">IF(AND(A24&lt;&gt;"", B24&lt;&gt;""), INDEX($A$9:$J$18, MATCH(INDEX($N$10:$N$18, MATCH(A24, $M$10:$M$18, 0)), $A$9:$A$18, 0), MATCH(INDEX($N$10:$N$18, MATCH(B24, $M$10:$M$18, 0)), $A$9:$J$9, 0)), "")</f>
        <v>-1</v>
      </c>
    </row>
    <row r="25" spans="1:14" ht="14.4" x14ac:dyDescent="0.3">
      <c r="A25" s="7">
        <v>10108</v>
      </c>
      <c r="B25" s="12">
        <v>10102</v>
      </c>
      <c r="C25" s="43">
        <f t="shared" si="0"/>
        <v>160</v>
      </c>
    </row>
    <row r="26" spans="1:14" ht="14.4" x14ac:dyDescent="0.3">
      <c r="A26" s="7">
        <v>10100</v>
      </c>
      <c r="B26" s="12">
        <v>10106</v>
      </c>
      <c r="C26" s="43">
        <f t="shared" si="0"/>
        <v>185</v>
      </c>
    </row>
    <row r="27" spans="1:14" ht="14.4" x14ac:dyDescent="0.3">
      <c r="A27" s="7">
        <v>10108</v>
      </c>
      <c r="B27" s="12">
        <v>10110</v>
      </c>
      <c r="C27" s="43">
        <f t="shared" si="0"/>
        <v>50</v>
      </c>
    </row>
    <row r="28" spans="1:14" ht="14.4" x14ac:dyDescent="0.3">
      <c r="A28" s="7">
        <v>10102</v>
      </c>
      <c r="B28" s="12">
        <v>10104</v>
      </c>
      <c r="C28" s="43">
        <f t="shared" si="0"/>
        <v>-1</v>
      </c>
    </row>
    <row r="29" spans="1:14" ht="14.4" x14ac:dyDescent="0.3">
      <c r="A29" s="7">
        <v>10106</v>
      </c>
      <c r="B29" s="12">
        <v>10108</v>
      </c>
      <c r="C29" s="43">
        <f t="shared" si="0"/>
        <v>70</v>
      </c>
    </row>
    <row r="30" spans="1:14" ht="14.4" x14ac:dyDescent="0.3">
      <c r="A30" s="7">
        <v>10102</v>
      </c>
      <c r="B30" s="12">
        <v>10106</v>
      </c>
      <c r="C30" s="43">
        <f t="shared" si="0"/>
        <v>90</v>
      </c>
    </row>
    <row r="31" spans="1:14" ht="14.4" x14ac:dyDescent="0.3">
      <c r="A31" s="7">
        <v>10110</v>
      </c>
      <c r="B31" s="12">
        <v>10114</v>
      </c>
      <c r="C31" s="43">
        <f t="shared" si="0"/>
        <v>180</v>
      </c>
    </row>
    <row r="32" spans="1:14" ht="14.4" x14ac:dyDescent="0.3">
      <c r="A32" s="7">
        <v>10104</v>
      </c>
      <c r="B32" s="12">
        <v>10106</v>
      </c>
      <c r="C32" s="43">
        <f t="shared" si="0"/>
        <v>60</v>
      </c>
    </row>
    <row r="33" spans="1:3" ht="14.4" x14ac:dyDescent="0.3">
      <c r="A33" s="7">
        <v>10110</v>
      </c>
      <c r="B33" s="12">
        <v>10112</v>
      </c>
      <c r="C33" s="43">
        <f t="shared" si="0"/>
        <v>115</v>
      </c>
    </row>
    <row r="34" spans="1:3" ht="14.4" x14ac:dyDescent="0.3">
      <c r="A34" s="7">
        <v>10100</v>
      </c>
      <c r="B34" s="12">
        <v>10114</v>
      </c>
      <c r="C34" s="43">
        <f t="shared" si="0"/>
        <v>480</v>
      </c>
    </row>
    <row r="35" spans="1:3" ht="14.4" x14ac:dyDescent="0.3">
      <c r="A35" s="9">
        <v>10112</v>
      </c>
      <c r="B35" s="13">
        <v>10116</v>
      </c>
      <c r="C35" s="1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Iftikhar Hussain</cp:lastModifiedBy>
  <dcterms:created xsi:type="dcterms:W3CDTF">2015-02-10T17:33:11Z</dcterms:created>
  <dcterms:modified xsi:type="dcterms:W3CDTF">2023-12-09T09:24:59Z</dcterms:modified>
</cp:coreProperties>
</file>