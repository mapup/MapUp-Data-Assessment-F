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hosl\OneDrive\Desktop\MapUp- Data- Assessment\MapUp-Data-Assessment\MapUp-Data-Assessment-F\"/>
    </mc:Choice>
  </mc:AlternateContent>
  <xr:revisionPtr revIDLastSave="0" documentId="13_ncr:1_{9CC3E03D-0D52-4408-822D-864DC34628AF}" xr6:coauthVersionLast="47" xr6:coauthVersionMax="47" xr10:uidLastSave="{00000000-0000-0000-0000-000000000000}"/>
  <bookViews>
    <workbookView xWindow="-108" yWindow="-108" windowWidth="23256" windowHeight="1389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E6" i="18"/>
  <c r="C22" i="19" a="1"/>
  <c r="C22" i="19" s="1"/>
  <c r="C30" i="18"/>
  <c r="D30" i="18"/>
  <c r="E30" i="18"/>
  <c r="F30" i="18"/>
  <c r="C29" i="18"/>
  <c r="D29" i="18"/>
  <c r="E29" i="18"/>
  <c r="F29" i="18"/>
  <c r="C28" i="18"/>
  <c r="D28" i="18"/>
  <c r="E28" i="18"/>
  <c r="F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6" i="18"/>
  <c r="B17" i="18"/>
  <c r="B16" i="18"/>
  <c r="B18" i="18"/>
  <c r="B19" i="18"/>
  <c r="B20" i="18"/>
  <c r="B21" i="18"/>
  <c r="B22" i="18"/>
  <c r="B23" i="18"/>
  <c r="B24" i="18"/>
  <c r="B25" i="18"/>
  <c r="B26" i="18"/>
  <c r="B27" i="18"/>
  <c r="H4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<sst xmlns="http://schemas.openxmlformats.org/spreadsheetml/2006/main" count="408" uniqueCount="185">
  <si>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</si>
  <si>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</si>
  <si>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</si>
  <si>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</si>
  <si>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</si>
  <si>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</si>
  <si>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</si>
  <si>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</si>
  <si>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</si>
  <si>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</si>
  <si>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</si>
  <si>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</si>
  <si>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</si>
  <si>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</si>
  <si>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</si>
  <si>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</si>
  <si>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</si>
  <si>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</si>
  <si>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</si>
  <si>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</si>
  <si>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</si>
  <si>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</si>
  <si>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</si>
  <si>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</si>
  <si>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</si>
  <si>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</si>
  <si>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</si>
  <si>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</si>
  <si>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</si>
  <si>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</si>
  <si>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</si>
  <si>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</si>
  <si>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</si>
  <si>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</si>
  <si>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</si>
  <si>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</si>
  <si>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</si>
  <si>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</si>
  <si>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</si>
  <si>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</si>
  <si>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</si>
  <si>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</si>
  <si>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</si>
  <si>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</si>
  <si>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</si>
  <si>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</si>
  <si>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</si>
  <si>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</si>
  <si>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</si>
  <si>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</si>
  <si>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</si>
  <si>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</si>
  <si>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</si>
  <si>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</si>
  <si>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</si>
  <si>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</si>
  <si>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</si>
  <si>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</si>
  <si>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</si>
  <si>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</si>
  <si>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</si>
  <si>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</si>
  <si>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</si>
  <si>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</si>
  <si>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</si>
  <si>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</si>
  <si>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</si>
  <si>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</si>
  <si>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</si>
  <si>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</si>
  <si>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</si>
  <si>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</si>
  <si>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</si>
  <si>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</si>
  <si>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</si>
  <si>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</si>
  <si>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</si>
  <si>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</si>
  <si>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</si>
  <si>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</si>
  <si>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</si>
  <si>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</si>
  <si>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</si>
  <si>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</si>
  <si>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</si>
  <si>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</si>
  <si>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</si>
  <si>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</si>
  <si>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</si>
  <si>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</si>
  <si>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</si>
  <si>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</si>
  <si>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</si>
  <si>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</si>
  <si>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</si>
  <si>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</si>
  <si>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</si>
  <si>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</si>
  <si>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</si>
  <si>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</si>
  <si>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</si>
  <si>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</si>
  <si>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</si>
  <si>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</si>
  <si>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</si>
  <si>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</si>
  <si>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</si>
  <si>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</si>
  <si>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</si>
  <si>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</si>
  <si>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</si>
  <si>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</si>
  <si>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</si>
  <si>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</si>
  <si>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</si>
  <si>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</si>
  <si>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</si>
  <si>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</si>
  <si>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</si>
  <si>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</si>
  <si>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</si>
  <si>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</si>
  <si>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</si>
  <si>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</si>
  <si>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</si>
  <si>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</si>
  <si>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</si>
  <si>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</si>
  <si>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</si>
  <si>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</si>
  <si>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</si>
  <si>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</si>
  <si>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</si>
  <si>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</si>
  <si>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</si>
  <si>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</si>
  <si>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</si>
  <si>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</si>
  <si>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</si>
  <si>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</si>
  <si>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</si>
  <si>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</si>
  <si>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</si>
  <si>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</si>
  <si>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</si>
  <si>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</si>
  <si>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</si>
  <si>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</si>
  <si>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</si>
  <si>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</si>
  <si>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</si>
  <si>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</si>
  <si>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</si>
  <si>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</si>
  <si>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</si>
  <si>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</si>
  <si>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</si>
  <si>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</si>
  <si>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</si>
  <si>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</si>
  <si>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</si>
  <si>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</si>
  <si>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</si>
  <si>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</si>
  <si>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</si>
  <si>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</si>
  <si>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</si>
  <si>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</si>
  <si>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</si>
  <si>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</si>
  <si>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</si>
  <si>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</si>
  <si>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</si>
  <si>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</si>
  <si>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</si>
  <si>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</si>
  <si>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</si>
  <si>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 "&gt;20")</t>
  </si>
  <si>
    <t xml:space="preserve">Text to columns function </t>
  </si>
  <si>
    <t>select the values column which has to be splitted ,now in Data , click on text to columns . Then select the data type as delimited, in the next wizard ,select semicolon as delimiter , then choose the destination</t>
  </si>
  <si>
    <t>SUM(IFERROR(C12:C21, 20))</t>
  </si>
  <si>
    <t xml:space="preserve">IFERROR(C12:C21,20) - This part of the formula replaces any #N/A errors in column A with the value '20'. If the value in column A is not an error, it remains unchanged. </t>
  </si>
  <si>
    <t>SUM(IFERROR(C12:C21, 20))  -  This calculates the sum of the values in column A after replacing any #N/A errors with '20'.</t>
  </si>
  <si>
    <t>INDEX($B$10:$J$18,MATCH(A23,$M$10:$M$18,0),MATCH(B23,$M$10:$M$18,0))</t>
  </si>
  <si>
    <r>
      <t>MATCH(A23, $M$10:$M$18,0)</t>
    </r>
    <r>
      <rPr>
        <sz val="12"/>
        <color rgb="FF374151"/>
        <rFont val="Calibri"/>
        <family val="2"/>
        <scheme val="minor"/>
      </rPr>
      <t>: The first MATCH function is looking for the value in cell A23 within the ID column of Table_B and returns the relative row number where the value in A23 is found. Similarly second MATCH for name_2 of Table_C. Now  the INDEX function is then using the row and column numbers obtained from the MATCH functions to retrieve the corresponding value from Table_A.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</si>
</sst>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23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.75"/>
      <color rgb="FF000000"/>
      <name val="Courier New"/>
      <family val="3"/>
    </font>
    <font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374151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9" fillId="0" borderId="0" xfId="0" applyFont="1" applyAlignment="1">
      <alignment vertical="top"/>
    </xf>
    <xf numFmtId="0" fontId="18" fillId="0" borderId="0" xfId="0" applyFont="1" applyAlignment="1">
      <alignment vertical="top"/>
    </xf>
    <xf numFmtId="0" fontId="19" fillId="0" borderId="0" xfId="0" applyFont="1" applyAlignment="1">
      <alignment horizontal="center" vertical="top"/>
    </xf>
    <xf numFmtId="0" fontId="20" fillId="0" borderId="0" xfId="0" applyFont="1" applyAlignment="1">
      <alignment horizontal="left" vertical="center" wrapText="1"/>
    </xf>
    <xf numFmtId="0" fontId="22" fillId="0" borderId="0" xfId="0" applyFont="1" applyAlignment="1">
      <alignment horizont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B05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topLeftCell="L1" zoomScaleNormal="100" workbookViewId="0">
      <pane ySplit="1" topLeftCell="A2" activePane="bottomLeft" state="frozen"/>
      <selection activeCell="B1" sqref="B1"/>
      <selection pane="bottomLeft" activeCell="F12" sqref="F1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6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2" spans="1:24" x14ac:dyDescent="0.3">
      <c r="H42" s="1">
        <f>SUMIF(H2:H40, "&gt;20")</f>
        <v>1473.0000000000002</v>
      </c>
    </row>
  </sheetData>
  <phoneticPr fontId="10" type="noConversion"/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1:W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7" sqref="D7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177</v>
      </c>
      <c r="D5" s="1">
        <v>1473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6" sqref="B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VLOOKUP($A6, Dataset!$A$2:$X$40, 7,FALSE)</f>
        <v>2.7</v>
      </c>
      <c r="C6" s="12">
        <f>VLOOKUP($A6, Dataset!$A$2:$X$40, 14,FALSE)</f>
        <v>7.6</v>
      </c>
      <c r="D6" s="12">
        <f>VLOOKUP($A6, Dataset!$A$2:$X$40, 18,FALSE)</f>
        <v>4.2</v>
      </c>
      <c r="E6" s="12">
        <f>VLOOKUP($A6, Dataset!$A$2:$X$40, 20,FALSE)</f>
        <v>8.9</v>
      </c>
      <c r="F6" s="8">
        <f>VLOOKUP($A6, Dataset!$A$2:$X$40, 22,FALSE)</f>
        <v>4.2</v>
      </c>
    </row>
    <row r="7" spans="1:7" ht="14.4" x14ac:dyDescent="0.3">
      <c r="A7" s="7" t="s">
        <v>4</v>
      </c>
      <c r="B7" s="12">
        <f>VLOOKUP($A7, Dataset!$A$2:$X$40, 7,FALSE)</f>
        <v>2.7</v>
      </c>
      <c r="C7" s="12">
        <f>VLOOKUP($A7, Dataset!$A$2:$X$40, 14,FALSE)</f>
        <v>7.6</v>
      </c>
      <c r="D7" s="12">
        <f>VLOOKUP($A7, Dataset!$A$2:$X$40, 18,FALSE)</f>
        <v>4.2</v>
      </c>
      <c r="E7" s="12">
        <f>VLOOKUP($A7, Dataset!$A$2:$X$40, 20,FALSE)</f>
        <v>8.9</v>
      </c>
      <c r="F7" s="8">
        <f>VLOOKUP($A7, Dataset!$A$2:$X$40, 22,FALSE)</f>
        <v>4.2</v>
      </c>
    </row>
    <row r="8" spans="1:7" ht="14.4" x14ac:dyDescent="0.3">
      <c r="A8" s="7" t="s">
        <v>7</v>
      </c>
      <c r="B8" s="12">
        <f>VLOOKUP($A8, Dataset!$A$2:$X$40, 7,FALSE)</f>
        <v>3.6</v>
      </c>
      <c r="C8" s="12">
        <f>VLOOKUP($A8, Dataset!$A$2:$X$40, 14,FALSE)</f>
        <v>11.1</v>
      </c>
      <c r="D8" s="12">
        <f>VLOOKUP($A8, Dataset!$A$2:$X$40, 18,FALSE)</f>
        <v>5.8</v>
      </c>
      <c r="E8" s="12">
        <f>VLOOKUP($A8, Dataset!$A$2:$X$40, 20,FALSE)</f>
        <v>12.2</v>
      </c>
      <c r="F8" s="8">
        <f>VLOOKUP($A8, Dataset!$A$2:$X$40, 22,FALSE)</f>
        <v>5.8</v>
      </c>
    </row>
    <row r="9" spans="1:7" ht="14.4" x14ac:dyDescent="0.3">
      <c r="A9" s="7" t="s">
        <v>8</v>
      </c>
      <c r="B9" s="12">
        <f>VLOOKUP($A9, Dataset!$A$2:$X$40, 7,FALSE)</f>
        <v>4.9000000000000004</v>
      </c>
      <c r="C9" s="12">
        <f>VLOOKUP($A9, Dataset!$A$2:$X$40, 14,FALSE)</f>
        <v>13.3</v>
      </c>
      <c r="D9" s="12">
        <f>VLOOKUP($A9, Dataset!$A$2:$X$40, 18,FALSE)</f>
        <v>8.1</v>
      </c>
      <c r="E9" s="12">
        <f>VLOOKUP($A9, Dataset!$A$2:$X$40, 20,FALSE)</f>
        <v>17</v>
      </c>
      <c r="F9" s="8">
        <f>VLOOKUP($A9, Dataset!$A$2:$X$40, 22,FALSE)</f>
        <v>8.1</v>
      </c>
    </row>
    <row r="10" spans="1:7" ht="14.4" x14ac:dyDescent="0.3">
      <c r="A10" s="7" t="s">
        <v>11</v>
      </c>
      <c r="B10" s="12">
        <f>VLOOKUP($A10, Dataset!$A$2:$X$40, 7,FALSE)</f>
        <v>9.4</v>
      </c>
      <c r="C10" s="12">
        <f>VLOOKUP($A10, Dataset!$A$2:$X$40, 14,FALSE)</f>
        <v>28.3</v>
      </c>
      <c r="D10" s="12">
        <f>VLOOKUP($A10, Dataset!$A$2:$X$40, 18,FALSE)</f>
        <v>16.100000000000001</v>
      </c>
      <c r="E10" s="12">
        <f>VLOOKUP($A10, Dataset!$A$2:$X$40, 20,FALSE)</f>
        <v>32.799999999999997</v>
      </c>
      <c r="F10" s="8">
        <f>VLOOKUP($A10, Dataset!$A$2:$X$40, 22,FALSE)</f>
        <v>16.100000000000001</v>
      </c>
    </row>
    <row r="11" spans="1:7" ht="14.4" x14ac:dyDescent="0.3">
      <c r="A11" s="7" t="s">
        <v>12</v>
      </c>
      <c r="B11" s="12">
        <f>VLOOKUP($A11, Dataset!$A$2:$X$40, 7,FALSE)</f>
        <v>11.6</v>
      </c>
      <c r="C11" s="12">
        <f>VLOOKUP($A11, Dataset!$A$2:$X$40, 14,FALSE)</f>
        <v>35.200000000000003</v>
      </c>
      <c r="D11" s="12">
        <f>VLOOKUP($A11, Dataset!$A$2:$X$40, 18,FALSE)</f>
        <v>21.3</v>
      </c>
      <c r="E11" s="12">
        <f>VLOOKUP($A11, Dataset!$A$2:$X$40, 20,FALSE)</f>
        <v>43</v>
      </c>
      <c r="F11" s="8">
        <f>VLOOKUP($A11, Dataset!$A$2:$X$40, 22,FALSE)</f>
        <v>21.3</v>
      </c>
    </row>
    <row r="12" spans="1:7" ht="14.4" x14ac:dyDescent="0.3">
      <c r="A12" s="7" t="s">
        <v>14</v>
      </c>
      <c r="B12" s="12">
        <f>VLOOKUP($A12, Dataset!$A$2:$X$40, 7,FALSE)</f>
        <v>18.399999999999999</v>
      </c>
      <c r="C12" s="12">
        <f>VLOOKUP($A12, Dataset!$A$2:$X$40, 14,FALSE)</f>
        <v>55.6</v>
      </c>
      <c r="D12" s="12">
        <f>VLOOKUP($A12, Dataset!$A$2:$X$40, 18,FALSE)</f>
        <v>33.799999999999997</v>
      </c>
      <c r="E12" s="12">
        <f>VLOOKUP($A12, Dataset!$A$2:$X$40, 20,FALSE)</f>
        <v>67.900000000000006</v>
      </c>
      <c r="F12" s="8">
        <f>VLOOKUP($A12, Dataset!$A$2:$X$40, 22,FALSE)</f>
        <v>33.799999999999997</v>
      </c>
    </row>
    <row r="13" spans="1:7" ht="14.4" x14ac:dyDescent="0.3">
      <c r="A13" s="7" t="s">
        <v>15</v>
      </c>
      <c r="B13" s="12">
        <f>VLOOKUP($A13, Dataset!$A$2:$X$40, 7,FALSE)</f>
        <v>0</v>
      </c>
      <c r="C13" s="12">
        <f>VLOOKUP($A13, Dataset!$A$2:$X$40, 14,FALSE)</f>
        <v>0</v>
      </c>
      <c r="D13" s="12">
        <f>VLOOKUP($A13, Dataset!$A$2:$X$40, 18,FALSE)</f>
        <v>0</v>
      </c>
      <c r="E13" s="12">
        <f>VLOOKUP($A13, Dataset!$A$2:$X$40, 20,FALSE)</f>
        <v>0</v>
      </c>
      <c r="F13" s="8">
        <f>VLOOKUP($A13, Dataset!$A$2:$X$40, 22,FALSE)</f>
        <v>0</v>
      </c>
    </row>
    <row r="14" spans="1:7" ht="14.4" x14ac:dyDescent="0.3">
      <c r="A14" s="7" t="s">
        <v>16</v>
      </c>
      <c r="B14" s="12">
        <f>VLOOKUP($A14, Dataset!$A$2:$X$40, 7,FALSE)</f>
        <v>21.9</v>
      </c>
      <c r="C14" s="12">
        <f>VLOOKUP($A14, Dataset!$A$2:$X$40, 14,FALSE)</f>
        <v>61.5</v>
      </c>
      <c r="D14" s="12">
        <f>VLOOKUP($A14, Dataset!$A$2:$X$40, 18,FALSE)</f>
        <v>40.1</v>
      </c>
      <c r="E14" s="12">
        <f>VLOOKUP($A14, Dataset!$A$2:$X$40, 20,FALSE)</f>
        <v>76.599999999999994</v>
      </c>
      <c r="F14" s="8">
        <f>VLOOKUP($A14, Dataset!$A$2:$X$40, 22,FALSE)</f>
        <v>40.1</v>
      </c>
    </row>
    <row r="15" spans="1:7" ht="14.4" x14ac:dyDescent="0.3">
      <c r="A15" s="7" t="s">
        <v>18</v>
      </c>
      <c r="B15" s="12">
        <f>VLOOKUP($A15, Dataset!$A$2:$X$40, 7,FALSE)</f>
        <v>26.8</v>
      </c>
      <c r="C15" s="12">
        <f>VLOOKUP($A15, Dataset!$A$2:$X$40, 14,FALSE)</f>
        <v>79.599999999999994</v>
      </c>
      <c r="D15" s="12">
        <f>VLOOKUP($A15, Dataset!$A$2:$X$40, 18,FALSE)</f>
        <v>47.9</v>
      </c>
      <c r="E15" s="12">
        <f>VLOOKUP($A15, Dataset!$A$2:$X$40, 20,FALSE)</f>
        <v>96.8</v>
      </c>
      <c r="F15" s="8">
        <f>VLOOKUP($A15, Dataset!$A$2:$X$40, 22,FALSE)</f>
        <v>47.9</v>
      </c>
    </row>
    <row r="16" spans="1:7" ht="14.4" x14ac:dyDescent="0.3">
      <c r="A16" s="7" t="s">
        <v>20</v>
      </c>
      <c r="B16" s="12">
        <f>VLOOKUP($A16, Dataset!$A$16:$X$40, 7,FALSE)</f>
        <v>28.5</v>
      </c>
      <c r="C16" s="12">
        <f>VLOOKUP($A16, Dataset!$A$2:$X$40, 14,FALSE)</f>
        <v>85.4</v>
      </c>
      <c r="D16" s="12">
        <f>VLOOKUP($A16, Dataset!$A$2:$X$40, 18,FALSE)</f>
        <v>52.3</v>
      </c>
      <c r="E16" s="12">
        <f>VLOOKUP($A16, Dataset!$A$2:$X$40, 20,FALSE)</f>
        <v>106.1</v>
      </c>
      <c r="F16" s="8">
        <f>VLOOKUP($A16, Dataset!$A$2:$X$40, 22,FALSE)</f>
        <v>52.3</v>
      </c>
    </row>
    <row r="17" spans="1:6" ht="14.4" x14ac:dyDescent="0.3">
      <c r="A17" s="7" t="s">
        <v>22</v>
      </c>
      <c r="B17" s="12">
        <f>VLOOKUP($A17, Dataset!$A$16:$X$40, 7,FALSE)</f>
        <v>30.7</v>
      </c>
      <c r="C17" s="12">
        <f>VLOOKUP($A17, Dataset!$A$2:$X$40, 14,FALSE)</f>
        <v>92.1</v>
      </c>
      <c r="D17" s="12">
        <f>VLOOKUP($A17, Dataset!$A$2:$X$40, 18,FALSE)</f>
        <v>57</v>
      </c>
      <c r="E17" s="12">
        <f>VLOOKUP($A17, Dataset!$A$2:$X$40, 20,FALSE)</f>
        <v>115.1</v>
      </c>
      <c r="F17" s="8">
        <f>VLOOKUP($A17, Dataset!$A$2:$X$40, 22,FALSE)</f>
        <v>57</v>
      </c>
    </row>
    <row r="18" spans="1:6" ht="14.4" x14ac:dyDescent="0.3">
      <c r="A18" s="7" t="s">
        <v>23</v>
      </c>
      <c r="B18" s="12">
        <f>VLOOKUP($A18, Dataset!$A$16:$X$40, 7,FALSE)</f>
        <v>33.799999999999997</v>
      </c>
      <c r="C18" s="12">
        <f>VLOOKUP($A18, Dataset!$A$2:$X$40, 14,FALSE)</f>
        <v>101.3</v>
      </c>
      <c r="D18" s="12">
        <f>VLOOKUP($A18, Dataset!$A$2:$X$40, 18,FALSE)</f>
        <v>61.4</v>
      </c>
      <c r="E18" s="12">
        <f>VLOOKUP($A18, Dataset!$A$2:$X$40, 20,FALSE)</f>
        <v>124.4</v>
      </c>
      <c r="F18" s="8">
        <f>VLOOKUP($A18, Dataset!$A$2:$X$40, 22,FALSE)</f>
        <v>61.4</v>
      </c>
    </row>
    <row r="19" spans="1:6" ht="14.4" x14ac:dyDescent="0.3">
      <c r="A19" s="7" t="s">
        <v>24</v>
      </c>
      <c r="B19" s="12">
        <f>VLOOKUP($A19, Dataset!$A$16:$X$40, 7,FALSE)</f>
        <v>34.700000000000003</v>
      </c>
      <c r="C19" s="12">
        <f>VLOOKUP($A19, Dataset!$A$2:$X$40, 14,FALSE)</f>
        <v>106.1</v>
      </c>
      <c r="D19" s="12">
        <f>VLOOKUP($A19, Dataset!$A$2:$X$40, 18,FALSE)</f>
        <v>63.6</v>
      </c>
      <c r="E19" s="12">
        <f>VLOOKUP($A19, Dataset!$A$2:$X$40, 20,FALSE)</f>
        <v>128.6</v>
      </c>
      <c r="F19" s="8">
        <f>VLOOKUP($A19, Dataset!$A$2:$X$40, 22,FALSE)</f>
        <v>63.6</v>
      </c>
    </row>
    <row r="20" spans="1:6" ht="14.4" x14ac:dyDescent="0.3">
      <c r="A20" s="7" t="s">
        <v>28</v>
      </c>
      <c r="B20" s="12">
        <f>VLOOKUP($A20, Dataset!$A$16:$X$40, 7,FALSE)</f>
        <v>0</v>
      </c>
      <c r="C20" s="12">
        <f>VLOOKUP($A20, Dataset!$A$2:$X$40, 14,FALSE)</f>
        <v>0</v>
      </c>
      <c r="D20" s="12">
        <f>VLOOKUP($A20, Dataset!$A$2:$X$40, 18,FALSE)</f>
        <v>0</v>
      </c>
      <c r="E20" s="12">
        <f>VLOOKUP($A20, Dataset!$A$2:$X$40, 20,FALSE)</f>
        <v>0</v>
      </c>
      <c r="F20" s="8">
        <f>VLOOKUP($A20, Dataset!$A$2:$X$40, 22,FALSE)</f>
        <v>0</v>
      </c>
    </row>
    <row r="21" spans="1:6" ht="14.4" x14ac:dyDescent="0.3">
      <c r="A21" s="7" t="s">
        <v>57</v>
      </c>
      <c r="B21" s="12">
        <f>VLOOKUP($A21, Dataset!$A$16:$X$40, 7,FALSE)</f>
        <v>41.3</v>
      </c>
      <c r="C21" s="12">
        <f>VLOOKUP($A21, Dataset!$A$2:$X$40, 14,FALSE)</f>
        <v>124.4</v>
      </c>
      <c r="D21" s="12">
        <f>VLOOKUP($A21, Dataset!$A$2:$X$40, 18,FALSE)</f>
        <v>75</v>
      </c>
      <c r="E21" s="12">
        <f>VLOOKUP($A21, Dataset!$A$2:$X$40, 20,FALSE)</f>
        <v>151.5</v>
      </c>
      <c r="F21" s="8">
        <f>VLOOKUP($A21, Dataset!$A$2:$X$40, 22,FALSE)</f>
        <v>75</v>
      </c>
    </row>
    <row r="22" spans="1:6" ht="14.4" x14ac:dyDescent="0.3">
      <c r="A22" s="7" t="s">
        <v>58</v>
      </c>
      <c r="B22" s="12">
        <f>VLOOKUP($A22, Dataset!$A$16:$X$40, 7,FALSE)</f>
        <v>-1</v>
      </c>
      <c r="C22" s="12">
        <f>VLOOKUP($A22, Dataset!$A$2:$X$40, 14,FALSE)</f>
        <v>-1</v>
      </c>
      <c r="D22" s="12">
        <f>VLOOKUP($A22, Dataset!$A$2:$X$40, 18,FALSE)</f>
        <v>-1</v>
      </c>
      <c r="E22" s="12">
        <f>VLOOKUP($A22, Dataset!$A$2:$X$40, 20,FALSE)</f>
        <v>-1</v>
      </c>
      <c r="F22" s="8">
        <f>VLOOKUP($A22, Dataset!$A$2:$X$40, 22,FALSE)</f>
        <v>-1</v>
      </c>
    </row>
    <row r="23" spans="1:6" ht="14.4" x14ac:dyDescent="0.3">
      <c r="A23" s="7" t="s">
        <v>31</v>
      </c>
      <c r="B23" s="12">
        <f>VLOOKUP($A23, Dataset!$A$16:$X$40, 7,FALSE)</f>
        <v>45</v>
      </c>
      <c r="C23" s="12">
        <f>VLOOKUP($A23, Dataset!$A$2:$X$40, 14,FALSE)</f>
        <v>133.4</v>
      </c>
      <c r="D23" s="12">
        <f>VLOOKUP($A23, Dataset!$A$2:$X$40, 18,FALSE)</f>
        <v>79.400000000000006</v>
      </c>
      <c r="E23" s="12">
        <f>VLOOKUP($A23, Dataset!$A$2:$X$40, 20,FALSE)</f>
        <v>160.9</v>
      </c>
      <c r="F23" s="8">
        <f>VLOOKUP($A23, Dataset!$A$2:$X$40, 22,FALSE)</f>
        <v>79.400000000000006</v>
      </c>
    </row>
    <row r="24" spans="1:6" ht="14.4" x14ac:dyDescent="0.3">
      <c r="A24" s="7" t="s">
        <v>32</v>
      </c>
      <c r="B24" s="12">
        <f>VLOOKUP($A24, Dataset!$A$16:$X$40, 7,FALSE)</f>
        <v>-1</v>
      </c>
      <c r="C24" s="12">
        <f>VLOOKUP($A24, Dataset!$A$2:$X$40, 14,FALSE)</f>
        <v>-1</v>
      </c>
      <c r="D24" s="12">
        <f>VLOOKUP($A24, Dataset!$A$2:$X$40, 18,FALSE)</f>
        <v>-1</v>
      </c>
      <c r="E24" s="12">
        <f>VLOOKUP($A24, Dataset!$A$2:$X$40, 20,FALSE)</f>
        <v>-1</v>
      </c>
      <c r="F24" s="8">
        <f>VLOOKUP($A24, Dataset!$A$2:$X$40, 22,FALSE)</f>
        <v>-1</v>
      </c>
    </row>
    <row r="25" spans="1:6" ht="14.4" x14ac:dyDescent="0.3">
      <c r="A25" s="7" t="s">
        <v>34</v>
      </c>
      <c r="B25" s="12">
        <f>VLOOKUP($A25, Dataset!$A$16:$X$40, 7,FALSE)</f>
        <v>43.3</v>
      </c>
      <c r="C25" s="12">
        <f>VLOOKUP($A25, Dataset!$A$2:$X$40, 14,FALSE)</f>
        <v>128.6</v>
      </c>
      <c r="D25" s="12">
        <f>VLOOKUP($A25, Dataset!$A$2:$X$40, 18,FALSE)</f>
        <v>79.400000000000006</v>
      </c>
      <c r="E25" s="12">
        <f>VLOOKUP($A25, Dataset!$A$2:$X$40, 20,FALSE)</f>
        <v>160.9</v>
      </c>
      <c r="F25" s="8">
        <f>VLOOKUP($A25, Dataset!$A$2:$X$40, 22,FALSE)</f>
        <v>79.400000000000006</v>
      </c>
    </row>
    <row r="26" spans="1:6" ht="14.4" x14ac:dyDescent="0.3">
      <c r="A26" s="7" t="s">
        <v>37</v>
      </c>
      <c r="B26" s="12">
        <f>VLOOKUP($A26, Dataset!$A$16:$X$40, 7,FALSE)</f>
        <v>49.1</v>
      </c>
      <c r="C26" s="12">
        <f>VLOOKUP($A26, Dataset!$A$2:$X$40, 14,FALSE)</f>
        <v>146.80000000000001</v>
      </c>
      <c r="D26" s="12">
        <f>VLOOKUP($A26, Dataset!$A$2:$X$40, 18,FALSE)</f>
        <v>90.9</v>
      </c>
      <c r="E26" s="12">
        <f>VLOOKUP($A26, Dataset!$A$2:$X$40, 20,FALSE)</f>
        <v>183.5</v>
      </c>
      <c r="F26" s="8">
        <f>VLOOKUP($A26, Dataset!$A$2:$X$40, 22,FALSE)</f>
        <v>90.9</v>
      </c>
    </row>
    <row r="27" spans="1:6" ht="14.4" x14ac:dyDescent="0.3">
      <c r="A27" s="7" t="s">
        <v>39</v>
      </c>
      <c r="B27" s="12">
        <f>VLOOKUP($A27, Dataset!$A$16:$X$40, 7,FALSE)</f>
        <v>51.8</v>
      </c>
      <c r="C27" s="12">
        <f>VLOOKUP($A27, Dataset!$A$2:$X$40, 14,FALSE)</f>
        <v>156.4</v>
      </c>
      <c r="D27" s="12">
        <f>VLOOKUP($A27, Dataset!$A$2:$X$40, 18,FALSE)</f>
        <v>93.1</v>
      </c>
      <c r="E27" s="12">
        <f>VLOOKUP($A27, Dataset!$A$2:$X$40, 20,FALSE)</f>
        <v>188.1</v>
      </c>
      <c r="F27" s="8">
        <f>VLOOKUP($A27, Dataset!$A$2:$X$40, 22,FALSE)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F6" sqref="F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 t="s">
        <v>178</v>
      </c>
    </row>
    <row r="6" spans="1:10" ht="18" x14ac:dyDescent="0.35">
      <c r="A6" s="43" t="s">
        <v>153</v>
      </c>
      <c r="B6" s="40" t="s">
        <v>179</v>
      </c>
    </row>
    <row r="7" spans="1:10" ht="18" x14ac:dyDescent="0.35">
      <c r="A7" s="43"/>
      <c r="B7" s="40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L22"/>
  <sheetViews>
    <sheetView zoomScaleNormal="100" workbookViewId="0">
      <selection activeCell="E10" sqref="E10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12" ht="21" x14ac:dyDescent="0.4">
      <c r="A1" s="42" t="s">
        <v>85</v>
      </c>
      <c r="B1" s="41" t="s">
        <v>167</v>
      </c>
    </row>
    <row r="2" spans="1:12" ht="18" x14ac:dyDescent="0.35">
      <c r="B2" s="40" t="s">
        <v>166</v>
      </c>
    </row>
    <row r="5" spans="1:12" ht="14.4" x14ac:dyDescent="0.3">
      <c r="B5" s="1" t="s">
        <v>151</v>
      </c>
    </row>
    <row r="6" spans="1:12" ht="14.4" x14ac:dyDescent="0.3">
      <c r="A6" s="3" t="s">
        <v>53</v>
      </c>
      <c r="B6" s="1" t="s">
        <v>180</v>
      </c>
    </row>
    <row r="7" spans="1:12" ht="14.4" x14ac:dyDescent="0.3">
      <c r="A7" s="3" t="s">
        <v>153</v>
      </c>
      <c r="B7" s="47" t="s">
        <v>181</v>
      </c>
      <c r="C7" s="47"/>
      <c r="D7" s="47"/>
      <c r="E7" s="47"/>
      <c r="F7" s="47"/>
      <c r="G7" s="47"/>
      <c r="H7" s="47"/>
      <c r="I7" s="47"/>
      <c r="J7" s="47"/>
      <c r="K7" s="47"/>
      <c r="L7" s="47"/>
    </row>
    <row r="8" spans="1:12" x14ac:dyDescent="0.3">
      <c r="B8" s="48" t="s">
        <v>182</v>
      </c>
      <c r="C8" s="48"/>
      <c r="D8" s="48"/>
      <c r="E8" s="48"/>
      <c r="F8" s="48"/>
      <c r="G8" s="48"/>
      <c r="H8" s="48"/>
      <c r="I8" s="48"/>
      <c r="J8" s="48"/>
      <c r="K8" s="48"/>
      <c r="L8" s="48"/>
    </row>
    <row r="10" spans="1:12" ht="23.4" x14ac:dyDescent="0.45">
      <c r="A10" s="18" t="s">
        <v>162</v>
      </c>
    </row>
    <row r="11" spans="1:12" ht="14.4" x14ac:dyDescent="0.3">
      <c r="A11" s="32" t="s">
        <v>86</v>
      </c>
      <c r="B11" s="17" t="s">
        <v>87</v>
      </c>
      <c r="C11" s="17" t="s">
        <v>88</v>
      </c>
    </row>
    <row r="12" spans="1:12" ht="14.4" x14ac:dyDescent="0.3">
      <c r="A12" s="32">
        <v>44927</v>
      </c>
      <c r="B12" s="17" t="s">
        <v>59</v>
      </c>
      <c r="C12" s="17">
        <v>200</v>
      </c>
    </row>
    <row r="13" spans="1:12" ht="14.4" x14ac:dyDescent="0.3">
      <c r="A13" s="32">
        <v>44928</v>
      </c>
      <c r="B13" s="17" t="s">
        <v>60</v>
      </c>
      <c r="C13" s="17" t="e">
        <v>#N/A</v>
      </c>
    </row>
    <row r="14" spans="1:12" ht="14.4" x14ac:dyDescent="0.3">
      <c r="A14" s="32">
        <v>44929</v>
      </c>
      <c r="B14" s="17" t="s">
        <v>61</v>
      </c>
      <c r="C14" s="17">
        <v>50</v>
      </c>
    </row>
    <row r="15" spans="1:12" ht="14.4" x14ac:dyDescent="0.3">
      <c r="A15" s="32">
        <v>44930</v>
      </c>
      <c r="B15" s="17" t="s">
        <v>62</v>
      </c>
      <c r="C15" s="17" t="e">
        <v>#N/A</v>
      </c>
    </row>
    <row r="16" spans="1:12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 t="e">
        <v>#N/A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 t="e">
        <v>#N/A</v>
      </c>
    </row>
    <row r="22" spans="1:3" ht="14.4" x14ac:dyDescent="0.3">
      <c r="B22" s="17" t="s">
        <v>159</v>
      </c>
      <c r="C22" s="25" cm="1">
        <f t="array" ref="C22">SUM(IFERROR(C12:C21, 20))</f>
        <v>600</v>
      </c>
    </row>
  </sheetData>
  <mergeCells count="2">
    <mergeCell ref="B7:L7"/>
    <mergeCell ref="B8:L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W35"/>
  <sheetViews>
    <sheetView tabSelected="1" topLeftCell="A9" zoomScaleNormal="100" workbookViewId="0">
      <selection activeCell="G28" sqref="G28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23" ht="21" x14ac:dyDescent="0.4">
      <c r="A1" s="42" t="s">
        <v>98</v>
      </c>
      <c r="B1" s="41" t="s">
        <v>175</v>
      </c>
    </row>
    <row r="3" spans="1:23" ht="14.4" x14ac:dyDescent="0.3">
      <c r="B3" s="1" t="s">
        <v>151</v>
      </c>
    </row>
    <row r="4" spans="1:23" ht="18" x14ac:dyDescent="0.35">
      <c r="A4" s="43" t="s">
        <v>53</v>
      </c>
      <c r="B4" s="53" t="s">
        <v>183</v>
      </c>
      <c r="C4" s="53"/>
      <c r="D4" s="53"/>
      <c r="E4" s="53"/>
      <c r="F4" s="53"/>
      <c r="G4" s="53"/>
      <c r="H4" s="53"/>
      <c r="I4" s="53"/>
      <c r="J4" s="53"/>
    </row>
    <row r="5" spans="1:23" ht="18" x14ac:dyDescent="0.35">
      <c r="A5" s="43" t="s">
        <v>153</v>
      </c>
      <c r="B5" s="52" t="s">
        <v>184</v>
      </c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1"/>
      <c r="S5" s="49"/>
      <c r="T5" s="49"/>
      <c r="U5" s="49"/>
      <c r="V5" s="49"/>
      <c r="W5" s="49"/>
    </row>
    <row r="6" spans="1:23" ht="14.4" x14ac:dyDescent="0.3">
      <c r="A6" s="3"/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1"/>
      <c r="S6" s="50"/>
      <c r="T6" s="50"/>
      <c r="U6" s="50"/>
      <c r="V6" s="50"/>
      <c r="W6" s="50"/>
    </row>
    <row r="7" spans="1:23" ht="13.8" customHeight="1" x14ac:dyDescent="0.3"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49"/>
    </row>
    <row r="8" spans="1:23" ht="23.4" x14ac:dyDescent="0.45">
      <c r="A8" s="18" t="s">
        <v>162</v>
      </c>
      <c r="M8" s="18" t="s">
        <v>163</v>
      </c>
    </row>
    <row r="9" spans="1:23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23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23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23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23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23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23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23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>
        <f t="shared" ref="C23:C35" si="0">INDEX($B$10:$J$18,MATCH(A23,$M$10:$M$18,0),MATCH(B23,$M$10:$M$18,0))</f>
        <v>95</v>
      </c>
    </row>
    <row r="24" spans="1:14" ht="14.4" x14ac:dyDescent="0.3">
      <c r="A24" s="7">
        <v>10100</v>
      </c>
      <c r="B24" s="12">
        <v>10104</v>
      </c>
      <c r="C24" s="44">
        <f t="shared" si="0"/>
        <v>-1</v>
      </c>
    </row>
    <row r="25" spans="1:14" ht="14.4" x14ac:dyDescent="0.3">
      <c r="A25" s="7">
        <v>10108</v>
      </c>
      <c r="B25" s="12">
        <v>10102</v>
      </c>
      <c r="C25" s="44">
        <f t="shared" si="0"/>
        <v>160</v>
      </c>
    </row>
    <row r="26" spans="1:14" ht="14.4" x14ac:dyDescent="0.3">
      <c r="A26" s="7">
        <v>10100</v>
      </c>
      <c r="B26" s="12">
        <v>10106</v>
      </c>
      <c r="C26" s="44">
        <f t="shared" si="0"/>
        <v>185</v>
      </c>
    </row>
    <row r="27" spans="1:14" ht="14.4" x14ac:dyDescent="0.3">
      <c r="A27" s="7">
        <v>10108</v>
      </c>
      <c r="B27" s="12">
        <v>10110</v>
      </c>
      <c r="C27" s="44">
        <f t="shared" si="0"/>
        <v>50</v>
      </c>
    </row>
    <row r="28" spans="1:14" ht="14.4" x14ac:dyDescent="0.3">
      <c r="A28" s="7">
        <v>10102</v>
      </c>
      <c r="B28" s="12">
        <v>10104</v>
      </c>
      <c r="C28" s="44">
        <f t="shared" si="0"/>
        <v>-1</v>
      </c>
    </row>
    <row r="29" spans="1:14" ht="14.4" x14ac:dyDescent="0.3">
      <c r="A29" s="7">
        <v>10106</v>
      </c>
      <c r="B29" s="12">
        <v>10108</v>
      </c>
      <c r="C29" s="44">
        <f t="shared" si="0"/>
        <v>70</v>
      </c>
    </row>
    <row r="30" spans="1:14" ht="14.4" x14ac:dyDescent="0.3">
      <c r="A30" s="7">
        <v>10102</v>
      </c>
      <c r="B30" s="12">
        <v>10106</v>
      </c>
      <c r="C30" s="44">
        <f t="shared" si="0"/>
        <v>90</v>
      </c>
    </row>
    <row r="31" spans="1:14" ht="14.4" x14ac:dyDescent="0.3">
      <c r="A31" s="7">
        <v>10110</v>
      </c>
      <c r="B31" s="12">
        <v>10114</v>
      </c>
      <c r="C31" s="44">
        <f t="shared" si="0"/>
        <v>180</v>
      </c>
    </row>
    <row r="32" spans="1:14" ht="14.4" x14ac:dyDescent="0.3">
      <c r="A32" s="7">
        <v>10104</v>
      </c>
      <c r="B32" s="12">
        <v>10106</v>
      </c>
      <c r="C32" s="44">
        <f t="shared" si="0"/>
        <v>60</v>
      </c>
    </row>
    <row r="33" spans="1:3" ht="14.4" x14ac:dyDescent="0.3">
      <c r="A33" s="7">
        <v>10110</v>
      </c>
      <c r="B33" s="12">
        <v>10112</v>
      </c>
      <c r="C33" s="44">
        <f t="shared" si="0"/>
        <v>115</v>
      </c>
    </row>
    <row r="34" spans="1:3" ht="14.4" x14ac:dyDescent="0.3">
      <c r="A34" s="7">
        <v>10100</v>
      </c>
      <c r="B34" s="12">
        <v>10114</v>
      </c>
      <c r="C34" s="44">
        <f t="shared" si="0"/>
        <v>480</v>
      </c>
    </row>
    <row r="35" spans="1:3" ht="14.4" x14ac:dyDescent="0.3">
      <c r="A35" s="9">
        <v>10112</v>
      </c>
      <c r="B35" s="13">
        <v>10116</v>
      </c>
      <c r="C35" s="44">
        <f t="shared" si="0"/>
        <v>105</v>
      </c>
    </row>
  </sheetData>
  <mergeCells count="2">
    <mergeCell ref="B4:J4"/>
    <mergeCell ref="B5:Q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Amit Ghoslya</cp:lastModifiedBy>
  <dcterms:created xsi:type="dcterms:W3CDTF">2015-02-10T17:33:11Z</dcterms:created>
  <dcterms:modified xsi:type="dcterms:W3CDTF">2023-12-10T07:57:32Z</dcterms:modified>
</cp:coreProperties>
</file>