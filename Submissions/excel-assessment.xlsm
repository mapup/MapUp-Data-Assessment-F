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7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0" documentId="8_{922EFDC1-E9AA-4616-873F-99E4CE0CAC57}" xr6:coauthVersionLast="47" xr6:coauthVersionMax="47" xr10:uidLastSave="{00000000-0000-0000-0000-000000000000}"/>
  <bookViews>
    <workbookView xWindow="0" yWindow="500" windowWidth="29400" windowHeight="16300" tabRatio="849" firstSheet="6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D12" i="19"/>
  <c r="D22" i="19"/>
  <c r="D15" i="19"/>
  <c r="D16" i="19"/>
  <c r="D17" i="19"/>
  <c r="D18" i="19"/>
  <c r="D19" i="19"/>
  <c r="D20" i="19"/>
  <c r="D21" i="19"/>
  <c r="D13" i="19"/>
  <c r="D14" i="19"/>
  <c r="H41" i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B30" i="18" l="1"/>
  <c r="B29" i="18"/>
  <c r="B28" i="18"/>
  <c r="C30" i="18"/>
  <c r="C29" i="18"/>
  <c r="C28" i="18"/>
  <c r="D30" i="18"/>
  <c r="D29" i="18"/>
  <c r="D28" i="18"/>
  <c r="E30" i="18"/>
  <c r="E29" i="18"/>
  <c r="E28" i="18"/>
  <c r="F30" i="18"/>
  <c r="F29" i="18"/>
  <c r="F28" i="18"/>
</calcChain>
</file>

<file path=xl/sharedStrings.xml><?xml version="1.0" encoding="utf-8"?>
<sst xmlns="http://schemas.openxmlformats.org/spreadsheetml/2006/main" count="408" uniqueCount="185">
  <si>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</si>
  <si>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</si>
  <si>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</si>
  <si>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</si>
  <si>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</si>
  <si>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</si>
  <si>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</si>
  <si>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</si>
  <si>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</si>
  <si>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</si>
  <si>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</si>
  <si>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</si>
  <si>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</si>
  <si>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</si>
  <si>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</si>
  <si>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</si>
  <si>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</si>
  <si>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</si>
  <si>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</si>
  <si>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</si>
  <si>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</si>
  <si>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</si>
  <si>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</si>
  <si>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</si>
  <si>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</si>
  <si>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</si>
  <si>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</si>
  <si>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</si>
  <si>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</si>
  <si>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</si>
  <si>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</si>
  <si>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</si>
  <si>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</si>
  <si>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</si>
  <si>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</si>
  <si>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</si>
  <si>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</si>
  <si>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</si>
  <si>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</si>
  <si>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</si>
  <si>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</si>
  <si>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</si>
  <si>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</si>
  <si>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</si>
  <si>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</si>
  <si>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</si>
  <si>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</si>
  <si>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</si>
  <si>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</si>
  <si>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</si>
  <si>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</si>
  <si>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</si>
  <si>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</si>
  <si>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</si>
  <si>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</si>
  <si>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</si>
  <si>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</si>
  <si>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</si>
  <si>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</si>
  <si>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</si>
  <si>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</si>
  <si>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</si>
  <si>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</si>
  <si>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</si>
  <si>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</si>
  <si>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</si>
  <si>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</si>
  <si>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</si>
  <si>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</si>
  <si>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</si>
  <si>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</si>
  <si>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</si>
  <si>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</si>
  <si>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</si>
  <si>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</si>
  <si>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</si>
  <si>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</si>
  <si>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</si>
  <si>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</si>
  <si>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</si>
  <si>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</si>
  <si>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</si>
  <si>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</si>
  <si>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</si>
  <si>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</si>
  <si>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</si>
  <si>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</si>
  <si>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</si>
  <si>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"=SUMIF(H2:H40,"&gt;20")"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</si>
  <si>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</si>
  <si>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</si>
  <si>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</si>
  <si>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</si>
  <si>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</si>
  <si>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</si>
  <si>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</si>
  <si>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</si>
  <si>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</si>
  <si>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</si>
  <si>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TEXT TO COLUMN</t>
  </si>
  <si>
    <t>Explanation:</t>
  </si>
  <si>
    <t>USED BUILT IN FUNCTIONALITY CONVERT TEXT TO COLUMNS, USING CUSTOM VALUE AS HIFEN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</si>
  <si>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</si>
  <si>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</si>
  <si>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</si>
  <si>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</si>
  <si>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</si>
  <si>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</si>
  <si>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</si>
  <si>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</si>
  <si>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</si>
  <si>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</si>
  <si>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</si>
  <si>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</si>
  <si>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</si>
  <si>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</si>
  <si>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</si>
  <si>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</si>
  <si>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</si>
  <si>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</si>
  <si>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</si>
  <si>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</si>
  <si>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</si>
  <si>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</si>
  <si>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</si>
  <si>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</si>
  <si>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</si>
  <si>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</si>
  <si>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</si>
  <si>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</si>
  <si>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</si>
  <si>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</si>
  <si>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</si>
  <si>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</si>
  <si>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</si>
  <si>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</si>
  <si>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</si>
  <si>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</si>
  <si>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</si>
  <si>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</si>
  <si>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</si>
  <si>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</si>
  <si>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</si>
  <si>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</si>
  <si>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</si>
  <si>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</si>
  <si>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</si>
  <si>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</si>
  <si>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</si>
  <si>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</si>
  <si>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20 values must be substituted with the value '20'</t>
  </si>
  <si>
    <t>IF(ISNA(C12),20,C12)</t>
  </si>
  <si>
    <t xml:space="preserve">IF CONDITION TO REPLACE THE VALUE  , TO CHECK WHETHER THE VALUE IS NULL OR NOT , I HAVE USED  ISNA 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</si>
  <si>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</si>
  <si>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</si>
  <si>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</si>
  <si>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</si>
  <si>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</si>
  <si>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</si>
  <si>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</si>
  <si>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</si>
  <si>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</si>
  <si>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</si>
  <si>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</si>
  <si>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</si>
  <si>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</si>
  <si>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</si>
  <si>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</si>
  <si>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HLOOKUP(VLOOKUP(A23,$M$9:$N$18,2,0),$B$9:$J$24,MATCH(VLOOKUP(B23,$M$9:$N18,2,0),$A$9:$A$18,0),0)</t>
  </si>
  <si>
    <t xml:space="preserve">here (A23,$M$9:$N$18,2,0),$B$9:$J$24 here A23 is the name1 ,table array is tablec and searching in table A to get the value this value is matched with VLOOKUP(B23,$M$9:$N18,2,0),$A$9:$A$18,0) here again we are using vlookup and B23 is name_2 is , table B and searching in column A in table A this whole is searched with hlookup 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</si>
  <si>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</si>
  <si>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</si>
  <si>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</si>
  <si>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</si>
  <si>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</si>
  <si>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</si>
  <si>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</si>
  <si>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</si>
  <si>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</si>
  <si>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</si>
  <si>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</si>
  <si>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</si>
  <si>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</si>
  <si>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</si>
  <si>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=HLOOKUP(VLOOKUP(A23,$M$9:$N$18,2,0),$B$9:$J$24,MATCH(B15),0)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</si>
</sst>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1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0" borderId="7" xfId="0" applyFont="1" applyBorder="1" applyAlignment="1">
      <alignment wrapText="1"/>
    </xf>
    <xf numFmtId="0" fontId="15" fillId="0" borderId="0" xfId="0" applyFont="1" applyAlignment="1">
      <alignment wrapText="1"/>
    </xf>
    <xf numFmtId="166" fontId="3" fillId="0" borderId="0" xfId="0" applyNumberFormat="1" applyFont="1"/>
    <xf numFmtId="166" fontId="7" fillId="0" borderId="0" xfId="0" applyNumberFormat="1" applyFont="1"/>
    <xf numFmtId="0" fontId="3" fillId="0" borderId="0" xfId="0" applyFont="1" applyAlignment="1">
      <alignment wrapText="1"/>
    </xf>
    <xf numFmtId="0" fontId="16" fillId="0" borderId="0" xfId="0" applyFont="1" applyAlignment="1">
      <alignment wrapText="1"/>
    </xf>
    <xf numFmtId="0" fontId="8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  <fill>
        <patternFill patternType="solid">
          <bgColor rgb="FFFFC7CE"/>
        </patternFill>
      </fill>
    </dxf>
    <dxf>
      <font>
        <color rgb="FFFF0000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9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6" t="s">
        <v>6</v>
      </c>
      <c r="B9" s="26" t="s">
        <v>7</v>
      </c>
    </row>
    <row r="10" spans="1:3">
      <c r="A10" s="35" t="s">
        <v>8</v>
      </c>
      <c r="B10" s="37">
        <v>25</v>
      </c>
    </row>
    <row r="11" spans="1:3">
      <c r="A11" s="35" t="s">
        <v>9</v>
      </c>
      <c r="B11" s="37">
        <v>30</v>
      </c>
    </row>
    <row r="12" spans="1:3">
      <c r="A12" s="35" t="s">
        <v>10</v>
      </c>
      <c r="B12" s="37">
        <v>10</v>
      </c>
    </row>
    <row r="13" spans="1:3">
      <c r="A13" s="35" t="s">
        <v>11</v>
      </c>
      <c r="B13" s="37">
        <v>20</v>
      </c>
    </row>
    <row r="14" spans="1:3">
      <c r="A14" s="35" t="s">
        <v>12</v>
      </c>
      <c r="B14" s="37">
        <v>40</v>
      </c>
    </row>
    <row r="15" spans="1:3">
      <c r="A15" s="38" t="s">
        <v>13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T23" activePane="bottomLeft" state="frozen"/>
      <selection pane="bottomLeft" activeCell="Y34" sqref="Y34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>
      <c r="A1" s="27" t="s">
        <v>14</v>
      </c>
      <c r="B1" s="27" t="s">
        <v>15</v>
      </c>
      <c r="C1" s="27" t="s">
        <v>16</v>
      </c>
      <c r="D1" s="28" t="s">
        <v>17</v>
      </c>
      <c r="E1" s="27" t="s">
        <v>18</v>
      </c>
      <c r="F1" s="28" t="s">
        <v>19</v>
      </c>
      <c r="G1" s="29" t="s">
        <v>20</v>
      </c>
      <c r="H1" s="29" t="s">
        <v>21</v>
      </c>
      <c r="I1" s="29" t="s">
        <v>22</v>
      </c>
      <c r="J1" s="30" t="s">
        <v>23</v>
      </c>
      <c r="K1" s="30" t="s">
        <v>24</v>
      </c>
      <c r="L1" s="30" t="s">
        <v>25</v>
      </c>
      <c r="M1" s="29" t="s">
        <v>26</v>
      </c>
      <c r="N1" s="29" t="s">
        <v>27</v>
      </c>
      <c r="O1" s="29" t="s">
        <v>28</v>
      </c>
      <c r="P1" s="30" t="s">
        <v>29</v>
      </c>
      <c r="Q1" s="30" t="s">
        <v>30</v>
      </c>
      <c r="R1" s="30" t="s">
        <v>31</v>
      </c>
      <c r="S1" s="29" t="s">
        <v>32</v>
      </c>
      <c r="T1" s="29" t="s">
        <v>33</v>
      </c>
      <c r="U1" s="30" t="s">
        <v>34</v>
      </c>
      <c r="V1" s="30" t="s">
        <v>35</v>
      </c>
      <c r="W1" s="30" t="s">
        <v>36</v>
      </c>
      <c r="X1" s="47" t="s">
        <v>37</v>
      </c>
    </row>
    <row r="2" spans="1:24">
      <c r="A2" s="1" t="s">
        <v>38</v>
      </c>
      <c r="B2" s="1">
        <v>20000</v>
      </c>
      <c r="C2" s="1" t="s">
        <v>39</v>
      </c>
      <c r="D2" s="24">
        <v>0</v>
      </c>
      <c r="E2" s="1" t="s">
        <v>40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41</v>
      </c>
      <c r="B3" s="1">
        <v>20002</v>
      </c>
      <c r="C3" s="1" t="s">
        <v>39</v>
      </c>
      <c r="D3" s="24">
        <v>0</v>
      </c>
      <c r="E3" s="1" t="s">
        <v>40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42</v>
      </c>
      <c r="B4" s="1">
        <v>20004</v>
      </c>
      <c r="C4" s="1" t="s">
        <v>39</v>
      </c>
      <c r="D4" s="24">
        <v>0</v>
      </c>
      <c r="E4" s="1" t="s">
        <v>40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43</v>
      </c>
      <c r="B5" s="1">
        <v>20006</v>
      </c>
      <c r="C5" s="1" t="s">
        <v>39</v>
      </c>
      <c r="D5" s="24">
        <v>0</v>
      </c>
      <c r="E5" s="1" t="s">
        <v>40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44</v>
      </c>
      <c r="B6" s="1">
        <v>20008</v>
      </c>
      <c r="C6" s="1" t="s">
        <v>39</v>
      </c>
      <c r="D6" s="24">
        <v>0</v>
      </c>
      <c r="E6" s="1" t="s">
        <v>40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45</v>
      </c>
      <c r="B7" s="1">
        <v>20010</v>
      </c>
      <c r="C7" s="1" t="s">
        <v>39</v>
      </c>
      <c r="D7" s="24">
        <v>0</v>
      </c>
      <c r="E7" s="1" t="s">
        <v>40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46</v>
      </c>
      <c r="B8" s="1">
        <v>20012</v>
      </c>
      <c r="C8" s="1" t="s">
        <v>39</v>
      </c>
      <c r="D8" s="24">
        <v>0</v>
      </c>
      <c r="E8" s="1" t="s">
        <v>40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47</v>
      </c>
      <c r="B9" s="1">
        <v>20014</v>
      </c>
      <c r="C9" s="1" t="s">
        <v>39</v>
      </c>
      <c r="D9" s="24">
        <v>0</v>
      </c>
      <c r="E9" s="1" t="s">
        <v>40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48</v>
      </c>
      <c r="B10" s="1">
        <v>20016</v>
      </c>
      <c r="C10" s="1" t="s">
        <v>39</v>
      </c>
      <c r="D10" s="24">
        <v>0</v>
      </c>
      <c r="E10" s="1" t="s">
        <v>40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49</v>
      </c>
      <c r="B11" s="1">
        <v>20018</v>
      </c>
      <c r="C11" s="1" t="s">
        <v>39</v>
      </c>
      <c r="D11" s="24">
        <v>0</v>
      </c>
      <c r="E11" s="1" t="s">
        <v>40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50</v>
      </c>
      <c r="B12" s="1">
        <v>20020</v>
      </c>
      <c r="C12" s="1" t="s">
        <v>39</v>
      </c>
      <c r="D12" s="24">
        <v>0</v>
      </c>
      <c r="E12" s="1" t="s">
        <v>40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51</v>
      </c>
      <c r="B13" s="1">
        <v>20022</v>
      </c>
      <c r="C13" s="1" t="s">
        <v>39</v>
      </c>
      <c r="D13" s="24">
        <v>0</v>
      </c>
      <c r="E13" s="1" t="s">
        <v>40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52</v>
      </c>
      <c r="B14" s="1">
        <v>20024</v>
      </c>
      <c r="C14" s="1" t="s">
        <v>39</v>
      </c>
      <c r="D14" s="24">
        <v>0</v>
      </c>
      <c r="E14" s="1" t="s">
        <v>40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53</v>
      </c>
      <c r="B15" s="1">
        <v>20026</v>
      </c>
      <c r="C15" s="1" t="s">
        <v>39</v>
      </c>
      <c r="D15" s="24">
        <v>0</v>
      </c>
      <c r="E15" s="1" t="s">
        <v>40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54</v>
      </c>
      <c r="B16" s="1">
        <v>20028</v>
      </c>
      <c r="C16" s="1" t="s">
        <v>39</v>
      </c>
      <c r="D16" s="24">
        <v>0</v>
      </c>
      <c r="E16" s="1" t="s">
        <v>40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55</v>
      </c>
      <c r="B17" s="1">
        <v>20030</v>
      </c>
      <c r="C17" s="1" t="s">
        <v>39</v>
      </c>
      <c r="D17" s="24">
        <v>0</v>
      </c>
      <c r="E17" s="1" t="s">
        <v>40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56</v>
      </c>
      <c r="B18" s="1">
        <v>20032</v>
      </c>
      <c r="C18" s="1" t="s">
        <v>39</v>
      </c>
      <c r="D18" s="24">
        <v>0</v>
      </c>
      <c r="E18" s="1" t="s">
        <v>40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57</v>
      </c>
      <c r="B19" s="1">
        <v>20034</v>
      </c>
      <c r="C19" s="1" t="s">
        <v>39</v>
      </c>
      <c r="D19" s="24">
        <v>0</v>
      </c>
      <c r="E19" s="1" t="s">
        <v>40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58</v>
      </c>
      <c r="B20" s="1">
        <v>20036</v>
      </c>
      <c r="C20" s="1" t="s">
        <v>39</v>
      </c>
      <c r="D20" s="24">
        <v>0</v>
      </c>
      <c r="E20" s="1" t="s">
        <v>40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59</v>
      </c>
      <c r="B21" s="1">
        <v>20038</v>
      </c>
      <c r="C21" s="1" t="s">
        <v>39</v>
      </c>
      <c r="D21" s="24">
        <v>0</v>
      </c>
      <c r="E21" s="1" t="s">
        <v>40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60</v>
      </c>
      <c r="B22" s="1">
        <v>20040</v>
      </c>
      <c r="C22" s="1" t="s">
        <v>39</v>
      </c>
      <c r="D22" s="24">
        <v>0</v>
      </c>
      <c r="E22" s="1" t="s">
        <v>40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61</v>
      </c>
      <c r="B23" s="1">
        <v>20042</v>
      </c>
      <c r="C23" s="1" t="s">
        <v>39</v>
      </c>
      <c r="D23" s="24">
        <v>0</v>
      </c>
      <c r="E23" s="1" t="s">
        <v>40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62</v>
      </c>
      <c r="B24" s="1">
        <v>20044</v>
      </c>
      <c r="C24" s="1" t="s">
        <v>39</v>
      </c>
      <c r="D24" s="24">
        <v>0</v>
      </c>
      <c r="E24" s="1" t="s">
        <v>40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63</v>
      </c>
      <c r="B25" s="1">
        <v>20046</v>
      </c>
      <c r="C25" s="1" t="s">
        <v>39</v>
      </c>
      <c r="D25" s="24">
        <v>0</v>
      </c>
      <c r="E25" s="1" t="s">
        <v>40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64</v>
      </c>
      <c r="B26" s="1">
        <v>20048</v>
      </c>
      <c r="C26" s="1" t="s">
        <v>39</v>
      </c>
      <c r="D26" s="24">
        <v>0</v>
      </c>
      <c r="E26" s="1" t="s">
        <v>40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65</v>
      </c>
      <c r="B27" s="1">
        <v>20050</v>
      </c>
      <c r="C27" s="1" t="s">
        <v>39</v>
      </c>
      <c r="D27" s="24">
        <v>0</v>
      </c>
      <c r="E27" s="1" t="s">
        <v>40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66</v>
      </c>
      <c r="B28" s="1">
        <v>20052</v>
      </c>
      <c r="C28" s="1" t="s">
        <v>39</v>
      </c>
      <c r="D28" s="24">
        <v>0</v>
      </c>
      <c r="E28" s="1" t="s">
        <v>40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67</v>
      </c>
      <c r="B29" s="1">
        <v>20054</v>
      </c>
      <c r="C29" s="1" t="s">
        <v>39</v>
      </c>
      <c r="D29" s="24">
        <v>0</v>
      </c>
      <c r="E29" s="1" t="s">
        <v>40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68</v>
      </c>
      <c r="B30" s="1">
        <v>20058</v>
      </c>
      <c r="C30" s="1" t="s">
        <v>39</v>
      </c>
      <c r="D30" s="24">
        <v>0</v>
      </c>
      <c r="E30" s="1" t="s">
        <v>40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69</v>
      </c>
      <c r="B31" s="1">
        <v>20060</v>
      </c>
      <c r="C31" s="1" t="s">
        <v>39</v>
      </c>
      <c r="D31" s="24">
        <v>0</v>
      </c>
      <c r="E31" s="1" t="s">
        <v>40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70</v>
      </c>
      <c r="B32" s="1">
        <v>21000</v>
      </c>
      <c r="C32" s="1" t="s">
        <v>39</v>
      </c>
      <c r="D32" s="24">
        <v>0</v>
      </c>
      <c r="E32" s="1" t="s">
        <v>40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71</v>
      </c>
      <c r="B33" s="1">
        <v>21002</v>
      </c>
      <c r="C33" s="1" t="s">
        <v>39</v>
      </c>
      <c r="D33" s="24">
        <v>0</v>
      </c>
      <c r="E33" s="1" t="s">
        <v>40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72</v>
      </c>
      <c r="B34" s="1">
        <v>21004</v>
      </c>
      <c r="C34" s="1" t="s">
        <v>39</v>
      </c>
      <c r="D34" s="24">
        <v>0</v>
      </c>
      <c r="E34" s="1" t="s">
        <v>40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73</v>
      </c>
      <c r="B35" s="1">
        <v>21006</v>
      </c>
      <c r="C35" s="1" t="s">
        <v>39</v>
      </c>
      <c r="D35" s="24">
        <v>0</v>
      </c>
      <c r="E35" s="1" t="s">
        <v>40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74</v>
      </c>
      <c r="B36" s="1">
        <v>21008</v>
      </c>
      <c r="C36" s="1" t="s">
        <v>39</v>
      </c>
      <c r="D36" s="24">
        <v>0</v>
      </c>
      <c r="E36" s="1" t="s">
        <v>40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75</v>
      </c>
      <c r="B37" s="1">
        <v>21010</v>
      </c>
      <c r="C37" s="1" t="s">
        <v>39</v>
      </c>
      <c r="D37" s="24">
        <v>0</v>
      </c>
      <c r="E37" s="1" t="s">
        <v>40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76</v>
      </c>
      <c r="B38" s="1">
        <v>21012</v>
      </c>
      <c r="C38" s="1" t="s">
        <v>39</v>
      </c>
      <c r="D38" s="24">
        <v>0</v>
      </c>
      <c r="E38" s="1" t="s">
        <v>40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77</v>
      </c>
      <c r="B39" s="1">
        <v>21014</v>
      </c>
      <c r="C39" s="1" t="s">
        <v>39</v>
      </c>
      <c r="D39" s="24">
        <v>0</v>
      </c>
      <c r="E39" s="1" t="s">
        <v>40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78</v>
      </c>
      <c r="B40" s="1">
        <v>21016</v>
      </c>
      <c r="C40" s="1" t="s">
        <v>39</v>
      </c>
      <c r="D40" s="24">
        <v>0</v>
      </c>
      <c r="E40" s="1" t="s">
        <v>40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W1048576">
    <cfRule type="containsText" dxfId="1" priority="2" operator="containsText" text="-1">
      <formula>NOT(ISERROR(SEARCH("-1",G1)))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4" t="s">
        <v>88</v>
      </c>
      <c r="E5" s="1">
        <v>10</v>
      </c>
    </row>
    <row r="6" spans="1:5">
      <c r="A6" s="6">
        <v>4</v>
      </c>
      <c r="B6" s="2" t="s">
        <v>89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1" zoomScaleNormal="100" workbookViewId="0">
      <selection activeCell="J26" sqref="J26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>
      <c r="A1" s="42" t="s">
        <v>9</v>
      </c>
      <c r="B1" s="41" t="s">
        <v>90</v>
      </c>
    </row>
    <row r="2" spans="1:7" s="41" customFormat="1" ht="21">
      <c r="B2" s="41" t="s">
        <v>91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8" t="s">
        <v>92</v>
      </c>
      <c r="B4" s="1"/>
      <c r="C4" s="1"/>
      <c r="D4" s="1"/>
      <c r="E4" s="1"/>
      <c r="F4" s="1"/>
      <c r="G4" s="1"/>
    </row>
    <row r="5" spans="1:7" ht="15">
      <c r="A5" s="20" t="s">
        <v>14</v>
      </c>
      <c r="B5" s="21" t="s">
        <v>20</v>
      </c>
      <c r="C5" s="22" t="s">
        <v>27</v>
      </c>
      <c r="D5" s="21" t="s">
        <v>31</v>
      </c>
      <c r="E5" s="22" t="s">
        <v>33</v>
      </c>
      <c r="F5" s="23" t="s">
        <v>35</v>
      </c>
    </row>
    <row r="6" spans="1:7" ht="45.75">
      <c r="A6" s="7" t="s">
        <v>38</v>
      </c>
      <c r="B6" s="44">
        <f>VLOOKUP(A6,Dataset!A1:X40,7,FALSE)</f>
        <v>2.7</v>
      </c>
      <c r="C6" s="12">
        <f>VLOOKUP(A6,Dataset!A1:Z100,14,FALSE)</f>
        <v>7.6</v>
      </c>
      <c r="D6" s="12">
        <f>VLOOKUP(A6,Dataset!A1:Z100,18,FALSE)</f>
        <v>4.2</v>
      </c>
      <c r="E6" s="12">
        <f>VLOOKUP(A6,Dataset!A1:Z100,20,FALSE)</f>
        <v>8.9</v>
      </c>
      <c r="F6" s="8">
        <f>VLOOKUP(A6,Dataset!A1:Z100,22,FALSE)</f>
        <v>4.2</v>
      </c>
    </row>
    <row r="7" spans="1:7" ht="15">
      <c r="A7" s="7" t="s">
        <v>41</v>
      </c>
      <c r="B7" s="44">
        <f>VLOOKUP(A7,Dataset!A2:X41,7,FALSE)</f>
        <v>2.7</v>
      </c>
      <c r="C7" s="12">
        <f>VLOOKUP(A7,Dataset!A2:Z101,14,FALSE)</f>
        <v>7.6</v>
      </c>
      <c r="D7" s="12">
        <f>VLOOKUP(A7,Dataset!A2:Z101,18,FALSE)</f>
        <v>4.2</v>
      </c>
      <c r="E7" s="12">
        <f>VLOOKUP(A7,Dataset!A2:Z101,20,FALSE)</f>
        <v>8.9</v>
      </c>
      <c r="F7" s="8">
        <f>VLOOKUP(A7,Dataset!A2:Z101,22,FALSE)</f>
        <v>4.2</v>
      </c>
    </row>
    <row r="8" spans="1:7" ht="15">
      <c r="A8" s="7" t="s">
        <v>42</v>
      </c>
      <c r="B8" s="44">
        <f>VLOOKUP(A8,Dataset!A3:X42,7,FALSE)</f>
        <v>3.6</v>
      </c>
      <c r="C8" s="12">
        <f>VLOOKUP(A8,Dataset!A3:Z102,14,FALSE)</f>
        <v>11.1</v>
      </c>
      <c r="D8" s="12">
        <f>VLOOKUP(A8,Dataset!A3:Z102,18,FALSE)</f>
        <v>5.8</v>
      </c>
      <c r="E8" s="12">
        <f>VLOOKUP(A8,Dataset!A3:Z102,20,FALSE)</f>
        <v>12.2</v>
      </c>
      <c r="F8" s="8">
        <f>VLOOKUP(A8,Dataset!A3:Z102,22,FALSE)</f>
        <v>5.8</v>
      </c>
    </row>
    <row r="9" spans="1:7" ht="15">
      <c r="A9" s="7" t="s">
        <v>43</v>
      </c>
      <c r="B9" s="44">
        <f>VLOOKUP(A9,Dataset!A4:X43,7,FALSE)</f>
        <v>4.9000000000000004</v>
      </c>
      <c r="C9" s="12">
        <f>VLOOKUP(A9,Dataset!A4:Z103,14,FALSE)</f>
        <v>13.3</v>
      </c>
      <c r="D9" s="12">
        <f>VLOOKUP(A9,Dataset!A4:Z103,18,FALSE)</f>
        <v>8.1</v>
      </c>
      <c r="E9" s="12">
        <f>VLOOKUP(A9,Dataset!A4:Z103,20,FALSE)</f>
        <v>17</v>
      </c>
      <c r="F9" s="8">
        <f>VLOOKUP(A9,Dataset!A4:Z103,22,FALSE)</f>
        <v>8.1</v>
      </c>
    </row>
    <row r="10" spans="1:7" ht="15">
      <c r="A10" s="7" t="s">
        <v>46</v>
      </c>
      <c r="B10" s="44">
        <f>VLOOKUP(A10,Dataset!A5:X44,7,FALSE)</f>
        <v>9.4</v>
      </c>
      <c r="C10" s="12">
        <f>VLOOKUP(A10,Dataset!A5:Z104,14,FALSE)</f>
        <v>28.3</v>
      </c>
      <c r="D10" s="12">
        <f>VLOOKUP(A10,Dataset!A5:Z104,18,FALSE)</f>
        <v>16.100000000000001</v>
      </c>
      <c r="E10" s="12">
        <f>VLOOKUP(A10,Dataset!A5:Z104,20,FALSE)</f>
        <v>32.799999999999997</v>
      </c>
      <c r="F10" s="8">
        <f>VLOOKUP(A10,Dataset!A5:Z104,22,FALSE)</f>
        <v>16.100000000000001</v>
      </c>
    </row>
    <row r="11" spans="1:7" ht="15">
      <c r="A11" s="7" t="s">
        <v>47</v>
      </c>
      <c r="B11" s="44">
        <f>VLOOKUP(A11,Dataset!A6:X45,7,FALSE)</f>
        <v>11.6</v>
      </c>
      <c r="C11" s="12">
        <f>VLOOKUP(A11,Dataset!A6:Z105,14,FALSE)</f>
        <v>35.200000000000003</v>
      </c>
      <c r="D11" s="12">
        <f>VLOOKUP(A11,Dataset!A6:Z105,18,FALSE)</f>
        <v>21.3</v>
      </c>
      <c r="E11" s="12">
        <f>VLOOKUP(A11,Dataset!A6:Z105,20,FALSE)</f>
        <v>43</v>
      </c>
      <c r="F11" s="8">
        <f>VLOOKUP(A11,Dataset!A6:Z105,22,FALSE)</f>
        <v>21.3</v>
      </c>
    </row>
    <row r="12" spans="1:7" ht="15">
      <c r="A12" s="7" t="s">
        <v>49</v>
      </c>
      <c r="B12" s="44">
        <f>VLOOKUP(A12,Dataset!A7:X46,7,FALSE)</f>
        <v>18.399999999999999</v>
      </c>
      <c r="C12" s="12">
        <f>VLOOKUP(A12,Dataset!A7:Z106,14,FALSE)</f>
        <v>55.6</v>
      </c>
      <c r="D12" s="12">
        <f>VLOOKUP(A12,Dataset!A7:Z106,18,FALSE)</f>
        <v>33.799999999999997</v>
      </c>
      <c r="E12" s="12">
        <f>VLOOKUP(A12,Dataset!A7:Z106,20,FALSE)</f>
        <v>67.900000000000006</v>
      </c>
      <c r="F12" s="8">
        <f>VLOOKUP(A12,Dataset!A7:Z106,22,FALSE)</f>
        <v>33.799999999999997</v>
      </c>
    </row>
    <row r="13" spans="1:7" ht="15">
      <c r="A13" s="7" t="s">
        <v>50</v>
      </c>
      <c r="B13" s="44">
        <f>VLOOKUP(A13,Dataset!A8:X47,7,FALSE)</f>
        <v>0</v>
      </c>
      <c r="C13" s="12">
        <f>VLOOKUP(A13,Dataset!A8:Z107,14,FALSE)</f>
        <v>0</v>
      </c>
      <c r="D13" s="12">
        <f>VLOOKUP(A13,Dataset!A8:Z107,18,FALSE)</f>
        <v>0</v>
      </c>
      <c r="E13" s="12">
        <f>VLOOKUP(A13,Dataset!A8:Z107,20,FALSE)</f>
        <v>0</v>
      </c>
      <c r="F13" s="8">
        <f>VLOOKUP(A13,Dataset!A8:Z107,22,FALSE)</f>
        <v>0</v>
      </c>
    </row>
    <row r="14" spans="1:7" ht="15">
      <c r="A14" s="7" t="s">
        <v>51</v>
      </c>
      <c r="B14" s="44">
        <f>VLOOKUP(A14,Dataset!A9:X48,7,FALSE)</f>
        <v>21.9</v>
      </c>
      <c r="C14" s="12">
        <f>VLOOKUP(A14,Dataset!A9:Z108,14,FALSE)</f>
        <v>61.5</v>
      </c>
      <c r="D14" s="12">
        <f>VLOOKUP(A14,Dataset!A9:Z108,18,FALSE)</f>
        <v>40.1</v>
      </c>
      <c r="E14" s="12">
        <f>VLOOKUP(A14,Dataset!A9:Z108,20,FALSE)</f>
        <v>76.599999999999994</v>
      </c>
      <c r="F14" s="8">
        <f>VLOOKUP(A14,Dataset!A9:Z108,22,FALSE)</f>
        <v>40.1</v>
      </c>
    </row>
    <row r="15" spans="1:7" ht="15">
      <c r="A15" s="7" t="s">
        <v>53</v>
      </c>
      <c r="B15" s="44">
        <f>VLOOKUP(A15,Dataset!A10:X49,7,FALSE)</f>
        <v>26.8</v>
      </c>
      <c r="C15" s="12">
        <f>VLOOKUP(A15,Dataset!A10:Z109,14,FALSE)</f>
        <v>79.599999999999994</v>
      </c>
      <c r="D15" s="12">
        <f>VLOOKUP(A15,Dataset!A10:Z109,18,FALSE)</f>
        <v>47.9</v>
      </c>
      <c r="E15" s="12">
        <f>VLOOKUP(A15,Dataset!A10:Z109,20,FALSE)</f>
        <v>96.8</v>
      </c>
      <c r="F15" s="8">
        <f>VLOOKUP(A15,Dataset!A10:Z109,22,FALSE)</f>
        <v>47.9</v>
      </c>
    </row>
    <row r="16" spans="1:7" ht="15">
      <c r="A16" s="7" t="s">
        <v>55</v>
      </c>
      <c r="B16" s="44">
        <f>VLOOKUP(A16,Dataset!A11:X50,7,FALSE)</f>
        <v>28.5</v>
      </c>
      <c r="C16" s="12">
        <f>VLOOKUP(A16,Dataset!A11:Z110,14,FALSE)</f>
        <v>85.4</v>
      </c>
      <c r="D16" s="12">
        <f>VLOOKUP(A16,Dataset!A11:Z110,18,FALSE)</f>
        <v>52.3</v>
      </c>
      <c r="E16" s="12">
        <f>VLOOKUP(A16,Dataset!A11:Z110,20,FALSE)</f>
        <v>106.1</v>
      </c>
      <c r="F16" s="8">
        <f>VLOOKUP(A16,Dataset!A11:Z110,22,FALSE)</f>
        <v>52.3</v>
      </c>
    </row>
    <row r="17" spans="1:6" ht="15">
      <c r="A17" s="7" t="s">
        <v>57</v>
      </c>
      <c r="B17" s="44">
        <f>VLOOKUP(A17,Dataset!A12:X51,7,FALSE)</f>
        <v>30.7</v>
      </c>
      <c r="C17" s="12">
        <f>VLOOKUP(A17,Dataset!A12:Z111,14,FALSE)</f>
        <v>92.1</v>
      </c>
      <c r="D17" s="12">
        <f>VLOOKUP(A17,Dataset!A12:Z111,18,FALSE)</f>
        <v>57</v>
      </c>
      <c r="E17" s="12">
        <f>VLOOKUP(A17,Dataset!A12:Z111,20,FALSE)</f>
        <v>115.1</v>
      </c>
      <c r="F17" s="8">
        <f>VLOOKUP(A17,Dataset!A12:Z111,22,FALSE)</f>
        <v>57</v>
      </c>
    </row>
    <row r="18" spans="1:6" ht="15">
      <c r="A18" s="7" t="s">
        <v>58</v>
      </c>
      <c r="B18" s="44">
        <f>VLOOKUP(A18,Dataset!A13:X52,7,FALSE)</f>
        <v>33.799999999999997</v>
      </c>
      <c r="C18" s="12">
        <f>VLOOKUP(A18,Dataset!A13:Z112,14,FALSE)</f>
        <v>101.3</v>
      </c>
      <c r="D18" s="12">
        <f>VLOOKUP(A18,Dataset!A13:Z112,18,FALSE)</f>
        <v>61.4</v>
      </c>
      <c r="E18" s="12">
        <f>VLOOKUP(A18,Dataset!A13:Z112,20,FALSE)</f>
        <v>124.4</v>
      </c>
      <c r="F18" s="8">
        <f>VLOOKUP(A18,Dataset!A13:Z112,22,FALSE)</f>
        <v>61.4</v>
      </c>
    </row>
    <row r="19" spans="1:6" ht="15">
      <c r="A19" s="7" t="s">
        <v>59</v>
      </c>
      <c r="B19" s="44">
        <f>VLOOKUP(A19,Dataset!A14:X53,7,FALSE)</f>
        <v>34.700000000000003</v>
      </c>
      <c r="C19" s="12">
        <f>VLOOKUP(A19,Dataset!A14:Z113,14,FALSE)</f>
        <v>106.1</v>
      </c>
      <c r="D19" s="12">
        <f>VLOOKUP(A19,Dataset!A14:Z113,18,FALSE)</f>
        <v>63.6</v>
      </c>
      <c r="E19" s="12">
        <f>VLOOKUP(A19,Dataset!A14:Z113,20,FALSE)</f>
        <v>128.6</v>
      </c>
      <c r="F19" s="8">
        <f>VLOOKUP(A19,Dataset!A14:Z113,22,FALSE)</f>
        <v>63.6</v>
      </c>
    </row>
    <row r="20" spans="1:6" ht="15">
      <c r="A20" s="7" t="s">
        <v>64</v>
      </c>
      <c r="B20" s="44">
        <f>VLOOKUP(A20,Dataset!A15:X54,7,FALSE)</f>
        <v>0</v>
      </c>
      <c r="C20" s="12">
        <f>VLOOKUP(A20,Dataset!A15:Z114,14,FALSE)</f>
        <v>0</v>
      </c>
      <c r="D20" s="12">
        <f>VLOOKUP(A20,Dataset!A15:Z114,18,FALSE)</f>
        <v>0</v>
      </c>
      <c r="E20" s="12">
        <f>VLOOKUP(A20,Dataset!A15:Z114,20,FALSE)</f>
        <v>0</v>
      </c>
      <c r="F20" s="8">
        <f>VLOOKUP(A20,Dataset!A15:Z114,22,FALSE)</f>
        <v>0</v>
      </c>
    </row>
    <row r="21" spans="1:6" ht="15">
      <c r="A21" s="7" t="s">
        <v>65</v>
      </c>
      <c r="B21" s="44">
        <f>VLOOKUP(A21,Dataset!A16:X55,7,FALSE)</f>
        <v>41.3</v>
      </c>
      <c r="C21" s="12">
        <f>VLOOKUP(A21,Dataset!A16:Z115,14,FALSE)</f>
        <v>124.4</v>
      </c>
      <c r="D21" s="12">
        <f>VLOOKUP(A21,Dataset!A16:Z115,18,FALSE)</f>
        <v>75</v>
      </c>
      <c r="E21" s="12">
        <f>VLOOKUP(A21,Dataset!A16:Z115,20,FALSE)</f>
        <v>151.5</v>
      </c>
      <c r="F21" s="8">
        <f>VLOOKUP(A21,Dataset!A16:Z115,22,FALSE)</f>
        <v>75</v>
      </c>
    </row>
    <row r="22" spans="1:6" ht="15">
      <c r="A22" s="7" t="s">
        <v>68</v>
      </c>
      <c r="B22" s="44">
        <f>VLOOKUP(A22,Dataset!A17:X56,7,FALSE)</f>
        <v>-1</v>
      </c>
      <c r="C22" s="12">
        <f>VLOOKUP(A22,Dataset!A17:Z116,14,FALSE)</f>
        <v>-1</v>
      </c>
      <c r="D22" s="12">
        <f>VLOOKUP(A22,Dataset!A17:Z116,18,FALSE)</f>
        <v>-1</v>
      </c>
      <c r="E22" s="12">
        <f>VLOOKUP(A22,Dataset!A17:Z116,20,FALSE)</f>
        <v>-1</v>
      </c>
      <c r="F22" s="8">
        <f>VLOOKUP(A22,Dataset!A17:Z116,22,FALSE)</f>
        <v>-1</v>
      </c>
    </row>
    <row r="23" spans="1:6" ht="15">
      <c r="A23" s="7" t="s">
        <v>69</v>
      </c>
      <c r="B23" s="44">
        <f>VLOOKUP(A23,Dataset!A18:X57,7,FALSE)</f>
        <v>45</v>
      </c>
      <c r="C23" s="12">
        <f>VLOOKUP(A23,Dataset!A18:Z117,14,FALSE)</f>
        <v>133.4</v>
      </c>
      <c r="D23" s="12">
        <f>VLOOKUP(A23,Dataset!A18:Z117,18,FALSE)</f>
        <v>79.400000000000006</v>
      </c>
      <c r="E23" s="12">
        <f>VLOOKUP(A23,Dataset!A18:Z117,20,FALSE)</f>
        <v>160.9</v>
      </c>
      <c r="F23" s="8">
        <f>VLOOKUP(A23,Dataset!A18:Z117,22,FALSE)</f>
        <v>79.400000000000006</v>
      </c>
    </row>
    <row r="24" spans="1:6" ht="15">
      <c r="A24" s="7" t="s">
        <v>70</v>
      </c>
      <c r="B24" s="44">
        <f>VLOOKUP(A24,Dataset!A19:X58,7,FALSE)</f>
        <v>-1</v>
      </c>
      <c r="C24" s="12">
        <f>VLOOKUP(A24,Dataset!A19:Z118,14,FALSE)</f>
        <v>-1</v>
      </c>
      <c r="D24" s="12">
        <f>VLOOKUP(A24,Dataset!A19:Z118,18,FALSE)</f>
        <v>-1</v>
      </c>
      <c r="E24" s="12">
        <f>VLOOKUP(A24,Dataset!A19:Z118,20,FALSE)</f>
        <v>-1</v>
      </c>
      <c r="F24" s="8">
        <f>VLOOKUP(A24,Dataset!A19:Z118,22,FALSE)</f>
        <v>-1</v>
      </c>
    </row>
    <row r="25" spans="1:6" ht="15">
      <c r="A25" s="7" t="s">
        <v>72</v>
      </c>
      <c r="B25" s="44">
        <f>VLOOKUP(A25,Dataset!A20:X59,7,FALSE)</f>
        <v>43.3</v>
      </c>
      <c r="C25" s="12">
        <f>VLOOKUP(A25,Dataset!A20:Z119,14,FALSE)</f>
        <v>128.6</v>
      </c>
      <c r="D25" s="12">
        <f>VLOOKUP(A25,Dataset!A20:Z119,18,FALSE)</f>
        <v>79.400000000000006</v>
      </c>
      <c r="E25" s="12">
        <f>VLOOKUP(A25,Dataset!A20:Z119,20,FALSE)</f>
        <v>160.9</v>
      </c>
      <c r="F25" s="8">
        <f>VLOOKUP(A25,Dataset!A20:Z119,22,FALSE)</f>
        <v>79.400000000000006</v>
      </c>
    </row>
    <row r="26" spans="1:6" ht="15">
      <c r="A26" s="7" t="s">
        <v>76</v>
      </c>
      <c r="B26" s="44">
        <f>VLOOKUP(A26,Dataset!A21:X60,7,FALSE)</f>
        <v>49.1</v>
      </c>
      <c r="C26" s="12">
        <f>VLOOKUP(A26,Dataset!A21:Z120,14,FALSE)</f>
        <v>146.80000000000001</v>
      </c>
      <c r="D26" s="12">
        <f>VLOOKUP(A26,Dataset!A21:Z120,18,FALSE)</f>
        <v>90.9</v>
      </c>
      <c r="E26" s="12">
        <f>VLOOKUP(A26,Dataset!A21:Z120,20,FALSE)</f>
        <v>183.5</v>
      </c>
      <c r="F26" s="8">
        <f>VLOOKUP(A26,Dataset!A21:Z120,22,FALSE)</f>
        <v>90.9</v>
      </c>
    </row>
    <row r="27" spans="1:6" ht="15">
      <c r="A27" s="7" t="s">
        <v>78</v>
      </c>
      <c r="B27" s="44">
        <f>VLOOKUP(A27,Dataset!A22:X61,7,FALSE)</f>
        <v>51.8</v>
      </c>
      <c r="C27" s="12">
        <f>VLOOKUP(A27,Dataset!A22:Z121,14,FALSE)</f>
        <v>156.4</v>
      </c>
      <c r="D27" s="12">
        <f>VLOOKUP(A27,Dataset!A22:Z121,18,FALSE)</f>
        <v>93.1</v>
      </c>
      <c r="E27" s="12">
        <f>VLOOKUP(A27,Dataset!A22:Z121,20,FALSE)</f>
        <v>188.1</v>
      </c>
      <c r="F27" s="8">
        <f>VLOOKUP(A27,Dataset!A22:Z121,22,FALSE)</f>
        <v>93.1</v>
      </c>
    </row>
    <row r="28" spans="1:6" ht="15">
      <c r="A28" s="19" t="s">
        <v>93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>
      <c r="A29" s="19" t="s">
        <v>94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>
      <c r="A30" s="19" t="s">
        <v>95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6" sqref="C6"/>
    </sheetView>
  </sheetViews>
  <sheetFormatPr defaultColWidth="11" defaultRowHeight="15"/>
  <cols>
    <col min="1" max="1" width="39.83203125" style="1" bestFit="1" customWidth="1"/>
    <col min="2" max="2" width="44.1640625" style="1" customWidth="1"/>
    <col min="3" max="16384" width="11" style="1"/>
  </cols>
  <sheetData>
    <row r="1" spans="1:10" s="41" customFormat="1" ht="21">
      <c r="A1" s="42" t="s">
        <v>10</v>
      </c>
      <c r="B1" s="41" t="s">
        <v>96</v>
      </c>
    </row>
    <row r="2" spans="1:10" customFormat="1" ht="12.95"/>
    <row r="3" spans="1:10" s="2" customFormat="1">
      <c r="B3" s="1"/>
    </row>
    <row r="4" spans="1:10" s="2" customFormat="1">
      <c r="B4" s="1" t="s">
        <v>97</v>
      </c>
    </row>
    <row r="5" spans="1:10" ht="18.95">
      <c r="A5" s="43" t="s">
        <v>98</v>
      </c>
      <c r="B5" s="40" t="s">
        <v>99</v>
      </c>
    </row>
    <row r="6" spans="1:10" ht="57">
      <c r="A6" s="43" t="s">
        <v>100</v>
      </c>
      <c r="B6" s="45" t="s">
        <v>101</v>
      </c>
    </row>
    <row r="7" spans="1:10" ht="18.95">
      <c r="A7" s="43"/>
      <c r="B7" s="40"/>
    </row>
    <row r="9" spans="1:10" ht="24">
      <c r="A9" s="18" t="s">
        <v>102</v>
      </c>
      <c r="I9" s="2"/>
      <c r="J9" s="2"/>
    </row>
    <row r="10" spans="1:10">
      <c r="A10" s="33" t="s">
        <v>103</v>
      </c>
      <c r="B10" s="17" t="s">
        <v>104</v>
      </c>
      <c r="C10" s="17" t="s">
        <v>105</v>
      </c>
      <c r="D10" s="17" t="s">
        <v>106</v>
      </c>
      <c r="E10" s="17" t="s">
        <v>107</v>
      </c>
      <c r="F10" s="17" t="s">
        <v>108</v>
      </c>
      <c r="I10" s="2"/>
      <c r="J10" s="2"/>
    </row>
    <row r="11" spans="1:10">
      <c r="A11" s="9" t="s">
        <v>109</v>
      </c>
      <c r="B11" s="13">
        <v>20000</v>
      </c>
      <c r="C11" s="13" t="s">
        <v>39</v>
      </c>
      <c r="D11" s="13">
        <v>0</v>
      </c>
      <c r="E11" s="11" t="s">
        <v>40</v>
      </c>
      <c r="F11" s="11">
        <v>24</v>
      </c>
      <c r="I11" s="2"/>
      <c r="J11" s="2"/>
    </row>
    <row r="14" spans="1:10" ht="24">
      <c r="A14" s="18" t="s">
        <v>92</v>
      </c>
    </row>
    <row r="15" spans="1:10">
      <c r="A15" s="14" t="s">
        <v>110</v>
      </c>
      <c r="B15" s="17" t="s">
        <v>104</v>
      </c>
      <c r="C15" s="15" t="s">
        <v>105</v>
      </c>
      <c r="D15" s="17" t="s">
        <v>106</v>
      </c>
      <c r="E15" s="15" t="s">
        <v>107</v>
      </c>
      <c r="F15" s="17" t="s">
        <v>108</v>
      </c>
    </row>
    <row r="16" spans="1:10">
      <c r="A16" s="7" t="s">
        <v>109</v>
      </c>
      <c r="B16" s="7">
        <v>20000</v>
      </c>
      <c r="C16" s="1" t="s">
        <v>39</v>
      </c>
      <c r="D16" s="12">
        <v>0</v>
      </c>
      <c r="E16" s="1" t="s">
        <v>40</v>
      </c>
      <c r="F16" s="12">
        <v>24</v>
      </c>
    </row>
    <row r="17" spans="1:6">
      <c r="A17" s="7" t="s">
        <v>111</v>
      </c>
      <c r="B17" s="7">
        <v>20002</v>
      </c>
      <c r="C17" s="1" t="s">
        <v>39</v>
      </c>
      <c r="D17" s="12">
        <v>0</v>
      </c>
      <c r="E17" s="1" t="s">
        <v>40</v>
      </c>
      <c r="F17" s="12">
        <v>24</v>
      </c>
    </row>
    <row r="18" spans="1:6">
      <c r="A18" s="7" t="s">
        <v>112</v>
      </c>
      <c r="B18" s="7">
        <v>20004</v>
      </c>
      <c r="C18" s="1" t="s">
        <v>39</v>
      </c>
      <c r="D18" s="12">
        <v>0</v>
      </c>
      <c r="E18" s="1" t="s">
        <v>40</v>
      </c>
      <c r="F18" s="12">
        <v>24</v>
      </c>
    </row>
    <row r="19" spans="1:6">
      <c r="A19" s="7" t="s">
        <v>113</v>
      </c>
      <c r="B19" s="7">
        <v>20006</v>
      </c>
      <c r="C19" s="1" t="s">
        <v>39</v>
      </c>
      <c r="D19" s="12">
        <v>0</v>
      </c>
      <c r="E19" s="1" t="s">
        <v>40</v>
      </c>
      <c r="F19" s="12">
        <v>24</v>
      </c>
    </row>
    <row r="20" spans="1:6">
      <c r="A20" s="7" t="s">
        <v>114</v>
      </c>
      <c r="B20" s="7">
        <v>20008</v>
      </c>
      <c r="C20" s="1" t="s">
        <v>39</v>
      </c>
      <c r="D20" s="12">
        <v>0</v>
      </c>
      <c r="E20" s="1" t="s">
        <v>40</v>
      </c>
      <c r="F20" s="12">
        <v>24</v>
      </c>
    </row>
    <row r="21" spans="1:6">
      <c r="A21" s="7" t="s">
        <v>115</v>
      </c>
      <c r="B21" s="7">
        <v>20010</v>
      </c>
      <c r="C21" s="1" t="s">
        <v>39</v>
      </c>
      <c r="D21" s="12">
        <v>0</v>
      </c>
      <c r="E21" s="1" t="s">
        <v>40</v>
      </c>
      <c r="F21" s="12">
        <v>24</v>
      </c>
    </row>
    <row r="22" spans="1:6">
      <c r="A22" s="7" t="s">
        <v>116</v>
      </c>
      <c r="B22" s="7">
        <v>20012</v>
      </c>
      <c r="C22" s="1" t="s">
        <v>39</v>
      </c>
      <c r="D22" s="12">
        <v>0</v>
      </c>
      <c r="E22" s="1" t="s">
        <v>40</v>
      </c>
      <c r="F22" s="12">
        <v>24</v>
      </c>
    </row>
    <row r="23" spans="1:6">
      <c r="A23" s="7" t="s">
        <v>117</v>
      </c>
      <c r="B23" s="7">
        <v>20014</v>
      </c>
      <c r="C23" s="1" t="s">
        <v>39</v>
      </c>
      <c r="D23" s="12">
        <v>0</v>
      </c>
      <c r="E23" s="1" t="s">
        <v>40</v>
      </c>
      <c r="F23" s="12">
        <v>24</v>
      </c>
    </row>
    <row r="24" spans="1:6">
      <c r="A24" s="7" t="s">
        <v>118</v>
      </c>
      <c r="B24" s="7">
        <v>20016</v>
      </c>
      <c r="C24" s="1" t="s">
        <v>39</v>
      </c>
      <c r="D24" s="12">
        <v>0</v>
      </c>
      <c r="E24" s="1" t="s">
        <v>40</v>
      </c>
      <c r="F24" s="12">
        <v>24</v>
      </c>
    </row>
    <row r="25" spans="1:6">
      <c r="A25" s="7" t="s">
        <v>119</v>
      </c>
      <c r="B25" s="7">
        <v>20018</v>
      </c>
      <c r="C25" s="1" t="s">
        <v>39</v>
      </c>
      <c r="D25" s="12">
        <v>0</v>
      </c>
      <c r="E25" s="1" t="s">
        <v>40</v>
      </c>
      <c r="F25" s="12">
        <v>24</v>
      </c>
    </row>
    <row r="26" spans="1:6">
      <c r="A26" s="7" t="s">
        <v>120</v>
      </c>
      <c r="B26" s="7">
        <v>20020</v>
      </c>
      <c r="C26" s="1" t="s">
        <v>39</v>
      </c>
      <c r="D26" s="12">
        <v>0</v>
      </c>
      <c r="E26" s="1" t="s">
        <v>40</v>
      </c>
      <c r="F26" s="12">
        <v>24</v>
      </c>
    </row>
    <row r="27" spans="1:6">
      <c r="A27" s="7" t="s">
        <v>121</v>
      </c>
      <c r="B27" s="7">
        <v>20022</v>
      </c>
      <c r="C27" s="1" t="s">
        <v>39</v>
      </c>
      <c r="D27" s="12">
        <v>0</v>
      </c>
      <c r="E27" s="1" t="s">
        <v>40</v>
      </c>
      <c r="F27" s="12">
        <v>24</v>
      </c>
    </row>
    <row r="28" spans="1:6">
      <c r="A28" s="7" t="s">
        <v>122</v>
      </c>
      <c r="B28" s="7">
        <v>20024</v>
      </c>
      <c r="C28" s="1" t="s">
        <v>39</v>
      </c>
      <c r="D28" s="12">
        <v>0</v>
      </c>
      <c r="E28" s="1" t="s">
        <v>40</v>
      </c>
      <c r="F28" s="12">
        <v>24</v>
      </c>
    </row>
    <row r="29" spans="1:6">
      <c r="A29" s="7" t="s">
        <v>123</v>
      </c>
      <c r="B29" s="7">
        <v>20026</v>
      </c>
      <c r="C29" s="1" t="s">
        <v>39</v>
      </c>
      <c r="D29" s="12">
        <v>0</v>
      </c>
      <c r="E29" s="1" t="s">
        <v>40</v>
      </c>
      <c r="F29" s="12">
        <v>24</v>
      </c>
    </row>
    <row r="30" spans="1:6">
      <c r="A30" s="7" t="s">
        <v>124</v>
      </c>
      <c r="B30" s="7">
        <v>20028</v>
      </c>
      <c r="C30" s="1" t="s">
        <v>39</v>
      </c>
      <c r="D30" s="12">
        <v>0</v>
      </c>
      <c r="E30" s="1" t="s">
        <v>40</v>
      </c>
      <c r="F30" s="12">
        <v>24</v>
      </c>
    </row>
    <row r="31" spans="1:6">
      <c r="A31" s="7" t="s">
        <v>125</v>
      </c>
      <c r="B31" s="7">
        <v>20030</v>
      </c>
      <c r="C31" s="1" t="s">
        <v>39</v>
      </c>
      <c r="D31" s="12">
        <v>0</v>
      </c>
      <c r="E31" s="1" t="s">
        <v>40</v>
      </c>
      <c r="F31" s="12">
        <v>24</v>
      </c>
    </row>
    <row r="32" spans="1:6">
      <c r="A32" s="7" t="s">
        <v>126</v>
      </c>
      <c r="B32" s="7">
        <v>20032</v>
      </c>
      <c r="C32" s="1" t="s">
        <v>39</v>
      </c>
      <c r="D32" s="12">
        <v>0</v>
      </c>
      <c r="E32" s="1" t="s">
        <v>40</v>
      </c>
      <c r="F32" s="12">
        <v>24</v>
      </c>
    </row>
    <row r="33" spans="1:6">
      <c r="A33" s="7" t="s">
        <v>127</v>
      </c>
      <c r="B33" s="7">
        <v>20034</v>
      </c>
      <c r="C33" s="1" t="s">
        <v>39</v>
      </c>
      <c r="D33" s="12">
        <v>0</v>
      </c>
      <c r="E33" s="1" t="s">
        <v>40</v>
      </c>
      <c r="F33" s="12">
        <v>24</v>
      </c>
    </row>
    <row r="34" spans="1:6">
      <c r="A34" s="7" t="s">
        <v>128</v>
      </c>
      <c r="B34" s="7">
        <v>20036</v>
      </c>
      <c r="C34" s="1" t="s">
        <v>39</v>
      </c>
      <c r="D34" s="12">
        <v>0</v>
      </c>
      <c r="E34" s="1" t="s">
        <v>40</v>
      </c>
      <c r="F34" s="12">
        <v>24</v>
      </c>
    </row>
    <row r="35" spans="1:6">
      <c r="A35" s="7" t="s">
        <v>129</v>
      </c>
      <c r="B35" s="7">
        <v>20038</v>
      </c>
      <c r="C35" s="1" t="s">
        <v>39</v>
      </c>
      <c r="D35" s="12">
        <v>0</v>
      </c>
      <c r="E35" s="1" t="s">
        <v>40</v>
      </c>
      <c r="F35" s="12">
        <v>24</v>
      </c>
    </row>
    <row r="36" spans="1:6">
      <c r="A36" s="7" t="s">
        <v>130</v>
      </c>
      <c r="B36" s="7">
        <v>20040</v>
      </c>
      <c r="C36" s="1" t="s">
        <v>39</v>
      </c>
      <c r="D36" s="12">
        <v>0</v>
      </c>
      <c r="E36" s="1" t="s">
        <v>40</v>
      </c>
      <c r="F36" s="12">
        <v>24</v>
      </c>
    </row>
    <row r="37" spans="1:6">
      <c r="A37" s="7" t="s">
        <v>131</v>
      </c>
      <c r="B37" s="7">
        <v>20042</v>
      </c>
      <c r="C37" s="1" t="s">
        <v>39</v>
      </c>
      <c r="D37" s="12">
        <v>0</v>
      </c>
      <c r="E37" s="1" t="s">
        <v>40</v>
      </c>
      <c r="F37" s="12">
        <v>24</v>
      </c>
    </row>
    <row r="38" spans="1:6">
      <c r="A38" s="7" t="s">
        <v>132</v>
      </c>
      <c r="B38" s="7">
        <v>20044</v>
      </c>
      <c r="C38" s="1" t="s">
        <v>39</v>
      </c>
      <c r="D38" s="12">
        <v>0</v>
      </c>
      <c r="E38" s="1" t="s">
        <v>40</v>
      </c>
      <c r="F38" s="12">
        <v>24</v>
      </c>
    </row>
    <row r="39" spans="1:6">
      <c r="A39" s="7" t="s">
        <v>133</v>
      </c>
      <c r="B39" s="7">
        <v>20046</v>
      </c>
      <c r="C39" s="1" t="s">
        <v>39</v>
      </c>
      <c r="D39" s="12">
        <v>0</v>
      </c>
      <c r="E39" s="1" t="s">
        <v>40</v>
      </c>
      <c r="F39" s="12">
        <v>24</v>
      </c>
    </row>
    <row r="40" spans="1:6">
      <c r="A40" s="7" t="s">
        <v>134</v>
      </c>
      <c r="B40" s="7">
        <v>20048</v>
      </c>
      <c r="C40" s="1" t="s">
        <v>39</v>
      </c>
      <c r="D40" s="12">
        <v>0</v>
      </c>
      <c r="E40" s="1" t="s">
        <v>40</v>
      </c>
      <c r="F40" s="12">
        <v>24</v>
      </c>
    </row>
    <row r="41" spans="1:6">
      <c r="A41" s="7" t="s">
        <v>135</v>
      </c>
      <c r="B41" s="7">
        <v>20050</v>
      </c>
      <c r="C41" s="1" t="s">
        <v>39</v>
      </c>
      <c r="D41" s="12">
        <v>0</v>
      </c>
      <c r="E41" s="1" t="s">
        <v>40</v>
      </c>
      <c r="F41" s="12">
        <v>24</v>
      </c>
    </row>
    <row r="42" spans="1:6">
      <c r="A42" s="7" t="s">
        <v>136</v>
      </c>
      <c r="B42" s="7">
        <v>20052</v>
      </c>
      <c r="C42" s="1" t="s">
        <v>39</v>
      </c>
      <c r="D42" s="12">
        <v>0</v>
      </c>
      <c r="E42" s="1" t="s">
        <v>40</v>
      </c>
      <c r="F42" s="12">
        <v>24</v>
      </c>
    </row>
    <row r="43" spans="1:6">
      <c r="A43" s="7" t="s">
        <v>137</v>
      </c>
      <c r="B43" s="7">
        <v>20054</v>
      </c>
      <c r="C43" s="1" t="s">
        <v>39</v>
      </c>
      <c r="D43" s="12">
        <v>0</v>
      </c>
      <c r="E43" s="1" t="s">
        <v>40</v>
      </c>
      <c r="F43" s="12">
        <v>24</v>
      </c>
    </row>
    <row r="44" spans="1:6">
      <c r="A44" s="7" t="s">
        <v>138</v>
      </c>
      <c r="B44" s="7">
        <v>20058</v>
      </c>
      <c r="C44" s="1" t="s">
        <v>39</v>
      </c>
      <c r="D44" s="12">
        <v>0</v>
      </c>
      <c r="E44" s="1" t="s">
        <v>40</v>
      </c>
      <c r="F44" s="12">
        <v>24</v>
      </c>
    </row>
    <row r="45" spans="1:6">
      <c r="A45" s="7" t="s">
        <v>139</v>
      </c>
      <c r="B45" s="7">
        <v>20060</v>
      </c>
      <c r="C45" s="1" t="s">
        <v>39</v>
      </c>
      <c r="D45" s="12">
        <v>0</v>
      </c>
      <c r="E45" s="1" t="s">
        <v>40</v>
      </c>
      <c r="F45" s="12">
        <v>24</v>
      </c>
    </row>
    <row r="46" spans="1:6">
      <c r="A46" s="7" t="s">
        <v>140</v>
      </c>
      <c r="B46" s="7">
        <v>21000</v>
      </c>
      <c r="C46" s="1" t="s">
        <v>39</v>
      </c>
      <c r="D46" s="12">
        <v>0</v>
      </c>
      <c r="E46" s="1" t="s">
        <v>40</v>
      </c>
      <c r="F46" s="12">
        <v>24</v>
      </c>
    </row>
    <row r="47" spans="1:6">
      <c r="A47" s="7" t="s">
        <v>141</v>
      </c>
      <c r="B47" s="7">
        <v>21002</v>
      </c>
      <c r="C47" s="1" t="s">
        <v>39</v>
      </c>
      <c r="D47" s="12">
        <v>0</v>
      </c>
      <c r="E47" s="1" t="s">
        <v>40</v>
      </c>
      <c r="F47" s="12">
        <v>24</v>
      </c>
    </row>
    <row r="48" spans="1:6">
      <c r="A48" s="7" t="s">
        <v>142</v>
      </c>
      <c r="B48" s="7">
        <v>21004</v>
      </c>
      <c r="C48" s="1" t="s">
        <v>39</v>
      </c>
      <c r="D48" s="12">
        <v>0</v>
      </c>
      <c r="E48" s="1" t="s">
        <v>40</v>
      </c>
      <c r="F48" s="12">
        <v>24</v>
      </c>
    </row>
    <row r="49" spans="1:6">
      <c r="A49" s="7" t="s">
        <v>143</v>
      </c>
      <c r="B49" s="7">
        <v>21006</v>
      </c>
      <c r="C49" s="1" t="s">
        <v>39</v>
      </c>
      <c r="D49" s="12">
        <v>0</v>
      </c>
      <c r="E49" s="1" t="s">
        <v>40</v>
      </c>
      <c r="F49" s="12">
        <v>24</v>
      </c>
    </row>
    <row r="50" spans="1:6">
      <c r="A50" s="7" t="s">
        <v>144</v>
      </c>
      <c r="B50" s="7">
        <v>21008</v>
      </c>
      <c r="C50" s="1" t="s">
        <v>39</v>
      </c>
      <c r="D50" s="12">
        <v>0</v>
      </c>
      <c r="E50" s="1" t="s">
        <v>40</v>
      </c>
      <c r="F50" s="12">
        <v>24</v>
      </c>
    </row>
    <row r="51" spans="1:6">
      <c r="A51" s="7" t="s">
        <v>145</v>
      </c>
      <c r="B51" s="7">
        <v>21010</v>
      </c>
      <c r="C51" s="1" t="s">
        <v>39</v>
      </c>
      <c r="D51" s="12">
        <v>0</v>
      </c>
      <c r="E51" s="1" t="s">
        <v>40</v>
      </c>
      <c r="F51" s="12">
        <v>24</v>
      </c>
    </row>
    <row r="52" spans="1:6">
      <c r="A52" s="7" t="s">
        <v>146</v>
      </c>
      <c r="B52" s="7">
        <v>21012</v>
      </c>
      <c r="C52" s="1" t="s">
        <v>39</v>
      </c>
      <c r="D52" s="12">
        <v>0</v>
      </c>
      <c r="E52" s="1" t="s">
        <v>40</v>
      </c>
      <c r="F52" s="12">
        <v>24</v>
      </c>
    </row>
    <row r="53" spans="1:6">
      <c r="A53" s="7" t="s">
        <v>147</v>
      </c>
      <c r="B53" s="7">
        <v>21014</v>
      </c>
      <c r="C53" s="1" t="s">
        <v>39</v>
      </c>
      <c r="D53" s="12">
        <v>0</v>
      </c>
      <c r="E53" s="1" t="s">
        <v>40</v>
      </c>
      <c r="F53" s="12">
        <v>24</v>
      </c>
    </row>
    <row r="54" spans="1:6">
      <c r="A54" s="9" t="s">
        <v>148</v>
      </c>
      <c r="B54" s="9">
        <v>21016</v>
      </c>
      <c r="C54" s="10" t="s">
        <v>39</v>
      </c>
      <c r="D54" s="13">
        <v>0</v>
      </c>
      <c r="E54" s="10" t="s">
        <v>40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C7" sqref="C7"/>
    </sheetView>
  </sheetViews>
  <sheetFormatPr defaultColWidth="11" defaultRowHeight="14.1"/>
  <cols>
    <col min="1" max="1" width="28.1640625" style="2" bestFit="1" customWidth="1"/>
    <col min="2" max="2" width="37.33203125" style="2" bestFit="1" customWidth="1"/>
    <col min="3" max="3" width="11" style="2" bestFit="1" customWidth="1"/>
    <col min="4" max="4" width="15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>
      <c r="A1" s="42" t="s">
        <v>11</v>
      </c>
      <c r="B1" s="41" t="s">
        <v>149</v>
      </c>
    </row>
    <row r="2" spans="1:4" ht="18.95">
      <c r="B2" s="40" t="s">
        <v>150</v>
      </c>
    </row>
    <row r="5" spans="1:4" ht="15">
      <c r="B5" s="1" t="s">
        <v>97</v>
      </c>
    </row>
    <row r="6" spans="1:4" ht="15">
      <c r="A6" s="3" t="s">
        <v>98</v>
      </c>
      <c r="B6" s="1" t="s">
        <v>151</v>
      </c>
    </row>
    <row r="7" spans="1:4" ht="60.75">
      <c r="A7" s="3" t="s">
        <v>100</v>
      </c>
      <c r="B7" s="48" t="s">
        <v>152</v>
      </c>
    </row>
    <row r="10" spans="1:4" ht="24">
      <c r="A10" s="18" t="s">
        <v>92</v>
      </c>
    </row>
    <row r="11" spans="1:4" ht="15">
      <c r="A11" s="32" t="s">
        <v>153</v>
      </c>
      <c r="B11" s="17" t="s">
        <v>154</v>
      </c>
      <c r="C11" s="17" t="s">
        <v>155</v>
      </c>
    </row>
    <row r="12" spans="1:4" ht="15">
      <c r="A12" s="32">
        <v>44927</v>
      </c>
      <c r="B12" s="17" t="s">
        <v>156</v>
      </c>
      <c r="C12" s="17">
        <v>200</v>
      </c>
      <c r="D12" s="2">
        <f>IF(ISNA(C12),20,C12)</f>
        <v>200</v>
      </c>
    </row>
    <row r="13" spans="1:4" ht="15">
      <c r="A13" s="32">
        <v>44928</v>
      </c>
      <c r="B13" s="17" t="s">
        <v>157</v>
      </c>
      <c r="C13" s="17" t="e">
        <v>#N/A</v>
      </c>
      <c r="D13" s="2">
        <f t="shared" ref="D13:D21" si="0">IF(ISNA(C13),20,C13)</f>
        <v>20</v>
      </c>
    </row>
    <row r="14" spans="1:4" ht="15">
      <c r="A14" s="32">
        <v>44929</v>
      </c>
      <c r="B14" s="17" t="s">
        <v>158</v>
      </c>
      <c r="C14" s="17">
        <v>50</v>
      </c>
      <c r="D14" s="2">
        <f t="shared" si="0"/>
        <v>50</v>
      </c>
    </row>
    <row r="15" spans="1:4" ht="15">
      <c r="A15" s="32">
        <v>44930</v>
      </c>
      <c r="B15" s="17" t="s">
        <v>159</v>
      </c>
      <c r="C15" s="17" t="e">
        <v>#N/A</v>
      </c>
      <c r="D15" s="2">
        <f t="shared" si="0"/>
        <v>20</v>
      </c>
    </row>
    <row r="16" spans="1:4" ht="15">
      <c r="A16" s="32">
        <v>44931</v>
      </c>
      <c r="B16" s="17" t="s">
        <v>160</v>
      </c>
      <c r="C16" s="17">
        <v>10</v>
      </c>
      <c r="D16" s="2">
        <f t="shared" si="0"/>
        <v>10</v>
      </c>
    </row>
    <row r="17" spans="1:4" ht="15">
      <c r="A17" s="32">
        <v>44932</v>
      </c>
      <c r="B17" s="17" t="s">
        <v>161</v>
      </c>
      <c r="C17" s="17">
        <v>150</v>
      </c>
      <c r="D17" s="2">
        <f t="shared" si="0"/>
        <v>150</v>
      </c>
    </row>
    <row r="18" spans="1:4" ht="15">
      <c r="A18" s="32">
        <v>44933</v>
      </c>
      <c r="B18" s="17" t="s">
        <v>162</v>
      </c>
      <c r="C18" s="17">
        <v>80</v>
      </c>
      <c r="D18" s="2">
        <f t="shared" si="0"/>
        <v>80</v>
      </c>
    </row>
    <row r="19" spans="1:4" ht="15">
      <c r="A19" s="32">
        <v>44934</v>
      </c>
      <c r="B19" s="17" t="s">
        <v>163</v>
      </c>
      <c r="C19" s="17" t="e">
        <v>#N/A</v>
      </c>
      <c r="D19" s="2">
        <f t="shared" si="0"/>
        <v>20</v>
      </c>
    </row>
    <row r="20" spans="1:4" ht="15">
      <c r="A20" s="32">
        <v>44935</v>
      </c>
      <c r="B20" s="17" t="s">
        <v>164</v>
      </c>
      <c r="C20" s="17">
        <v>30</v>
      </c>
      <c r="D20" s="2">
        <f t="shared" si="0"/>
        <v>30</v>
      </c>
    </row>
    <row r="21" spans="1:4" ht="15">
      <c r="A21" s="32">
        <v>44936</v>
      </c>
      <c r="B21" s="17" t="s">
        <v>165</v>
      </c>
      <c r="C21" s="17" t="e">
        <v>#N/A</v>
      </c>
      <c r="D21" s="2">
        <f t="shared" si="0"/>
        <v>20</v>
      </c>
    </row>
    <row r="22" spans="1:4" ht="15">
      <c r="B22" s="17" t="s">
        <v>166</v>
      </c>
      <c r="C22" s="25"/>
      <c r="D22" s="2">
        <f>SUM(D12,D21)</f>
        <v>220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4" zoomScaleNormal="100" workbookViewId="0">
      <selection activeCell="B6" sqref="B6"/>
    </sheetView>
  </sheetViews>
  <sheetFormatPr defaultColWidth="11" defaultRowHeight="14.1"/>
  <cols>
    <col min="1" max="1" width="28.1640625" style="2" bestFit="1" customWidth="1"/>
    <col min="2" max="4" width="37.33203125" style="2" bestFit="1" customWidth="1"/>
    <col min="5" max="5" width="11" style="2"/>
    <col min="6" max="6" width="37.33203125" style="2" bestFit="1" customWidth="1"/>
    <col min="7" max="16384" width="11" style="2"/>
  </cols>
  <sheetData>
    <row r="1" spans="1:14" ht="62.25">
      <c r="A1" s="42" t="s">
        <v>12</v>
      </c>
      <c r="B1" s="49" t="s">
        <v>167</v>
      </c>
    </row>
    <row r="3" spans="1:14" ht="15">
      <c r="B3" s="1" t="s">
        <v>97</v>
      </c>
    </row>
    <row r="4" spans="1:14" ht="53.25">
      <c r="A4" s="43" t="s">
        <v>98</v>
      </c>
      <c r="B4" s="1"/>
      <c r="C4" s="50" t="s">
        <v>168</v>
      </c>
    </row>
    <row r="5" spans="1:14" ht="152.25">
      <c r="A5" s="43" t="s">
        <v>100</v>
      </c>
      <c r="B5" s="48" t="s">
        <v>169</v>
      </c>
    </row>
    <row r="6" spans="1:14" ht="15">
      <c r="A6" s="3"/>
      <c r="B6" s="1"/>
    </row>
    <row r="8" spans="1:14" ht="24">
      <c r="A8" s="18" t="s">
        <v>92</v>
      </c>
      <c r="M8" s="18" t="s">
        <v>170</v>
      </c>
    </row>
    <row r="9" spans="1:14" ht="15">
      <c r="A9" s="26"/>
      <c r="B9" s="26" t="s">
        <v>171</v>
      </c>
      <c r="C9" s="26" t="s">
        <v>172</v>
      </c>
      <c r="D9" s="26" t="s">
        <v>173</v>
      </c>
      <c r="E9" s="26" t="s">
        <v>174</v>
      </c>
      <c r="F9" s="26" t="s">
        <v>175</v>
      </c>
      <c r="G9" s="26" t="s">
        <v>176</v>
      </c>
      <c r="H9" s="26" t="s">
        <v>177</v>
      </c>
      <c r="I9" s="26" t="s">
        <v>178</v>
      </c>
      <c r="J9" s="26" t="s">
        <v>179</v>
      </c>
      <c r="M9" s="19" t="s">
        <v>15</v>
      </c>
      <c r="N9" s="19" t="s">
        <v>180</v>
      </c>
    </row>
    <row r="10" spans="1:14" ht="15">
      <c r="A10" s="26" t="s">
        <v>171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171</v>
      </c>
    </row>
    <row r="11" spans="1:14" ht="15">
      <c r="A11" s="26" t="s">
        <v>172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172</v>
      </c>
    </row>
    <row r="12" spans="1:14" ht="15">
      <c r="A12" s="26" t="s">
        <v>173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173</v>
      </c>
    </row>
    <row r="13" spans="1:14" ht="15">
      <c r="A13" s="26" t="s">
        <v>174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174</v>
      </c>
    </row>
    <row r="14" spans="1:14" ht="15">
      <c r="A14" s="26" t="s">
        <v>175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175</v>
      </c>
    </row>
    <row r="15" spans="1:14" ht="15">
      <c r="A15" s="26" t="s">
        <v>176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176</v>
      </c>
    </row>
    <row r="16" spans="1:14" ht="15">
      <c r="A16" s="26" t="s">
        <v>177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177</v>
      </c>
    </row>
    <row r="17" spans="1:14" ht="15">
      <c r="A17" s="26" t="s">
        <v>178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178</v>
      </c>
    </row>
    <row r="18" spans="1:14" ht="15">
      <c r="A18" s="26" t="s">
        <v>179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179</v>
      </c>
    </row>
    <row r="21" spans="1:14" ht="23.25">
      <c r="A21" s="18" t="s">
        <v>181</v>
      </c>
      <c r="D21" s="50"/>
      <c r="F21" s="50"/>
    </row>
    <row r="22" spans="1:14" ht="15">
      <c r="A22" s="14" t="s">
        <v>182</v>
      </c>
      <c r="B22" s="17" t="s">
        <v>183</v>
      </c>
      <c r="C22" s="16" t="s">
        <v>103</v>
      </c>
    </row>
    <row r="23" spans="1:14" ht="27">
      <c r="A23" s="7">
        <v>10100</v>
      </c>
      <c r="B23" s="12">
        <v>10102</v>
      </c>
      <c r="C23" s="50" t="s">
        <v>184</v>
      </c>
    </row>
    <row r="24" spans="1:14" ht="15">
      <c r="A24" s="7">
        <v>10100</v>
      </c>
      <c r="B24" s="12">
        <v>10104</v>
      </c>
      <c r="C24" s="2">
        <f>HLOOKUP(VLOOKUP(A24,$M$9:$N$18,2,0),$B$9:$J$24,MATCH(VLOOKUP(B24,$M$9:$N19,2,0),$A$9:$A$18,0),0)</f>
        <v>-1</v>
      </c>
    </row>
    <row r="25" spans="1:14" ht="15">
      <c r="A25" s="7">
        <v>10108</v>
      </c>
      <c r="B25" s="12">
        <v>10102</v>
      </c>
      <c r="C25" s="2">
        <f>HLOOKUP(VLOOKUP(A25,$M$9:$N$18,2,0),$B$9:$J$24,MATCH(VLOOKUP(B25,$M$9:$N20,2,0),$A$9:$A$18,0),0)</f>
        <v>160</v>
      </c>
    </row>
    <row r="26" spans="1:14" ht="15">
      <c r="A26" s="7">
        <v>10100</v>
      </c>
      <c r="B26" s="12">
        <v>10106</v>
      </c>
      <c r="C26" s="2">
        <f>HLOOKUP(VLOOKUP(A26,$M$9:$N$18,2,0),$B$9:$J$24,MATCH(VLOOKUP(B26,$M$9:$N21,2,0),$A$9:$A$18,0),0)</f>
        <v>185</v>
      </c>
    </row>
    <row r="27" spans="1:14" ht="15">
      <c r="A27" s="7">
        <v>10108</v>
      </c>
      <c r="B27" s="12">
        <v>10110</v>
      </c>
      <c r="C27" s="2">
        <f>HLOOKUP(VLOOKUP(A27,$M$9:$N$18,2,0),$B$9:$J$24,MATCH(VLOOKUP(B27,$M$9:$N22,2,0),$A$9:$A$18,0),0)</f>
        <v>50</v>
      </c>
    </row>
    <row r="28" spans="1:14" ht="15">
      <c r="A28" s="7">
        <v>10102</v>
      </c>
      <c r="B28" s="12">
        <v>10104</v>
      </c>
      <c r="C28" s="2">
        <f>HLOOKUP(VLOOKUP(A28,$M$9:$N$18,2,0),$B$9:$J$24,MATCH(VLOOKUP(B28,$M$9:$N23,2,0),$A$9:$A$18,0),0)</f>
        <v>-1</v>
      </c>
    </row>
    <row r="29" spans="1:14" ht="15">
      <c r="A29" s="7">
        <v>10106</v>
      </c>
      <c r="B29" s="12">
        <v>10108</v>
      </c>
      <c r="C29" s="2">
        <f>HLOOKUP(VLOOKUP(A29,$M$9:$N$18,2,0),$B$9:$J$24,MATCH(VLOOKUP(B29,$M$9:$N24,2,0),$A$9:$A$18,0),0)</f>
        <v>70</v>
      </c>
    </row>
    <row r="30" spans="1:14" ht="15">
      <c r="A30" s="7">
        <v>10102</v>
      </c>
      <c r="B30" s="12">
        <v>10106</v>
      </c>
      <c r="C30" s="2">
        <f>HLOOKUP(VLOOKUP(A30,$M$9:$N$18,2,0),$B$9:$J$24,MATCH(VLOOKUP(B30,$M$9:$N25,2,0),$A$9:$A$18,0),0)</f>
        <v>90</v>
      </c>
    </row>
    <row r="31" spans="1:14" ht="15">
      <c r="A31" s="7">
        <v>10110</v>
      </c>
      <c r="B31" s="12">
        <v>10114</v>
      </c>
      <c r="C31" s="2">
        <f>HLOOKUP(VLOOKUP(A31,$M$9:$N$18,2,0),$B$9:$J$24,MATCH(VLOOKUP(B31,$M$9:$N26,2,0),$A$9:$A$18,0),0)</f>
        <v>180</v>
      </c>
    </row>
    <row r="32" spans="1:14" ht="15">
      <c r="A32" s="7">
        <v>10104</v>
      </c>
      <c r="B32" s="12">
        <v>10106</v>
      </c>
      <c r="C32" s="2">
        <f>HLOOKUP(VLOOKUP(A32,$M$9:$N$18,2,0),$B$9:$J$24,MATCH(VLOOKUP(B32,$M$9:$N27,2,0),$A$9:$A$18,0),0)</f>
        <v>60</v>
      </c>
    </row>
    <row r="33" spans="1:3" ht="15">
      <c r="A33" s="7">
        <v>10110</v>
      </c>
      <c r="B33" s="12">
        <v>10112</v>
      </c>
      <c r="C33" s="2">
        <f>HLOOKUP(VLOOKUP(A33,$M$9:$N$18,2,0),$B$9:$J$24,MATCH(VLOOKUP(B33,$M$9:$N28,2,0),$A$9:$A$18,0),0)</f>
        <v>115</v>
      </c>
    </row>
    <row r="34" spans="1:3" ht="15">
      <c r="A34" s="7">
        <v>10100</v>
      </c>
      <c r="B34" s="12">
        <v>10114</v>
      </c>
      <c r="C34" s="2">
        <f>HLOOKUP(VLOOKUP(A34,$M$9:$N$18,2,0),$B$9:$J$24,MATCH(VLOOKUP(B34,$M$9:$N29,2,0),$A$9:$A$18,0),0)</f>
        <v>480</v>
      </c>
    </row>
    <row r="35" spans="1:3" ht="15">
      <c r="A35" s="9">
        <v>10112</v>
      </c>
      <c r="B35" s="13">
        <v>10116</v>
      </c>
      <c r="C35" s="2">
        <f>HLOOKUP(VLOOKUP(A35,$M$9:$N$18,2,0),$B$9:$J$24,MATCH(VLOOKUP(B35,$M$9:$N30,2,0),$A$9:$A$18,0),0)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2023-12-10T06:19:47Z</dcterms:created>
  <dcterms:modified xsi:type="dcterms:W3CDTF">2023-12-11T16:49:17Z</dcterms:modified>
  <cp:category/>
  <cp:contentStatus/>
</cp:coreProperties>
</file>