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ukes\Downloads\"/>
    </mc:Choice>
  </mc:AlternateContent>
  <xr:revisionPtr revIDLastSave="0" documentId="13_ncr:1_{AA8D4525-B15F-486A-B34E-98407BB52BEB}" xr6:coauthVersionLast="47" xr6:coauthVersionMax="47" xr10:uidLastSave="{00000000-0000-0000-0000-000000000000}"/>
  <bookViews>
    <workbookView xWindow="-110" yWindow="-110" windowWidth="19420" windowHeight="110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19" l="1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E28" i="18" s="1"/>
  <c r="F9" i="18"/>
  <c r="B10" i="18"/>
  <c r="C10" i="18"/>
  <c r="D10" i="18"/>
  <c r="E10" i="18"/>
  <c r="F10" i="18"/>
  <c r="B11" i="18"/>
  <c r="C11" i="18"/>
  <c r="C28" i="18" s="1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D28" i="18" s="1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B30" i="18" s="1"/>
  <c r="D30" i="18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D24" i="20"/>
  <c r="E24" i="20"/>
  <c r="D25" i="20"/>
  <c r="E25" i="20"/>
  <c r="D26" i="20"/>
  <c r="E26" i="20"/>
  <c r="D27" i="20"/>
  <c r="E27" i="20"/>
  <c r="D28" i="20"/>
  <c r="E28" i="20"/>
  <c r="D29" i="20"/>
  <c r="E29" i="20"/>
  <c r="D30" i="20"/>
  <c r="E30" i="20"/>
  <c r="D31" i="20"/>
  <c r="E31" i="20"/>
  <c r="D32" i="20"/>
  <c r="E32" i="20"/>
  <c r="D33" i="20"/>
  <c r="E33" i="20"/>
  <c r="D34" i="20"/>
  <c r="E34" i="20"/>
  <c r="D35" i="20"/>
  <c r="E35" i="20"/>
  <c r="E23" i="20"/>
  <c r="D23" i="20"/>
  <c r="C35" i="20"/>
  <c r="C24" i="20"/>
  <c r="C25" i="20"/>
  <c r="C26" i="20"/>
  <c r="C27" i="20"/>
  <c r="C28" i="20"/>
  <c r="C29" i="20"/>
  <c r="C30" i="20"/>
  <c r="C31" i="20"/>
  <c r="C32" i="20"/>
  <c r="C33" i="20"/>
  <c r="C34" i="20"/>
  <c r="C23" i="20"/>
  <c r="C22" i="19"/>
  <c r="H41" i="1"/>
  <c r="E30" i="18" l="1"/>
  <c r="C30" i="18"/>
  <c r="F28" i="18"/>
  <c r="C29" i="18"/>
  <c r="E29" i="18"/>
  <c r="D29" i="18"/>
  <c r="F29" i="18"/>
  <c r="F30" i="18"/>
  <c r="B28" i="18"/>
  <c r="B29" i="18"/>
</calcChain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<sst xmlns="http://schemas.openxmlformats.org/spreadsheetml/2006/main" count="415" uniqueCount="192">
  <si>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</si>
  <si>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</si>
  <si>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</si>
  <si>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</si>
  <si>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</si>
  <si>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</si>
  <si>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</si>
  <si>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</si>
  <si>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</si>
  <si>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</si>
  <si>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</si>
  <si>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</si>
  <si>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</si>
  <si>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</si>
  <si>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</si>
  <si>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</si>
  <si>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</si>
  <si>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</si>
  <si>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</si>
  <si>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</si>
  <si>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</si>
  <si>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</si>
  <si>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</si>
  <si>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</si>
  <si>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</si>
  <si>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</si>
  <si>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</si>
  <si>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</si>
  <si>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</si>
  <si>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</si>
  <si>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</si>
  <si>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</si>
  <si>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</si>
  <si>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</si>
  <si>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</si>
  <si>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</si>
  <si>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</si>
  <si>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</si>
  <si>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</si>
  <si>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</si>
  <si>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</si>
  <si>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</si>
  <si>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</si>
  <si>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</si>
  <si>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</si>
  <si>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</si>
  <si>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</si>
  <si>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</si>
  <si>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</si>
  <si>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</si>
  <si>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</si>
  <si>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</si>
  <si>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</si>
  <si>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</si>
  <si>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</si>
  <si>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</si>
  <si>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</si>
  <si>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</si>
  <si>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</si>
  <si>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</si>
  <si>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</si>
  <si>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</si>
  <si>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</si>
  <si>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</si>
  <si>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</si>
  <si>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</si>
  <si>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</si>
  <si>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</si>
  <si>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</si>
  <si>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</si>
  <si>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</si>
  <si>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</si>
  <si>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</si>
  <si>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</si>
  <si>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</si>
  <si>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</si>
  <si>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</si>
  <si>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</si>
  <si>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</si>
  <si>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</si>
  <si>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</si>
  <si>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</si>
  <si>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</si>
  <si>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</si>
  <si>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</si>
  <si>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</si>
  <si>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</si>
  <si>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</si>
  <si>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</si>
  <si>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</si>
  <si>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</si>
  <si>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</si>
  <si>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</si>
  <si>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</si>
  <si>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</si>
  <si>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</si>
  <si>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</si>
  <si>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</si>
  <si>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</si>
  <si>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</si>
  <si>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</si>
  <si>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</si>
  <si>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</si>
  <si>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</si>
  <si>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</si>
  <si>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</si>
  <si>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</si>
  <si>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</si>
  <si>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</si>
  <si>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</si>
  <si>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</si>
  <si>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</si>
  <si>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</si>
  <si>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</si>
  <si>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</si>
  <si>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</si>
  <si>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</si>
  <si>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</si>
  <si>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</si>
  <si>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</si>
  <si>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</si>
  <si>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</si>
  <si>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</si>
  <si>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</si>
  <si>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</si>
  <si>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</si>
  <si>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</si>
  <si>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</si>
  <si>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</si>
  <si>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</si>
  <si>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</si>
  <si>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</si>
  <si>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</si>
  <si>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</si>
  <si>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</si>
  <si>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</si>
  <si>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</si>
  <si>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</si>
  <si>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</si>
  <si>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</si>
  <si>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</si>
  <si>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</si>
  <si>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</si>
  <si>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</si>
  <si>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</si>
  <si>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</si>
  <si>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</si>
  <si>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</si>
  <si>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</si>
  <si>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</si>
  <si>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</si>
  <si>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</si>
  <si>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</si>
  <si>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</si>
  <si>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</si>
  <si>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</si>
  <si>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</si>
  <si>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</si>
  <si>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</si>
  <si>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</si>
  <si>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</si>
  <si>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</si>
  <si>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</si>
  <si>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</si>
  <si>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</si>
  <si>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</si>
  <si>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</si>
  <si>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</si>
  <si>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</si>
  <si>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</si>
  <si>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</si>
  <si>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</si>
  <si>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</si>
  <si>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</si>
  <si>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</si>
  <si>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</si>
  <si>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</si>
  <si>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</si>
  <si>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A16:A54</t>
  </si>
  <si>
    <t>click Alt+A followed by E</t>
  </si>
  <si>
    <t xml:space="preserve">text to column wizard will appear, choose require condations and destination of the reulting text and finish. </t>
  </si>
  <si>
    <t>SUMIF(C12:C21, "&lt;&gt;#N/A" ) + 20*COUNTIF(C12:C21, "#N/A")</t>
  </si>
  <si>
    <t>the total sum is sum of values without error + 20*count of #N/A</t>
  </si>
  <si>
    <t>VLOOKUP(VLOOKUP(A35, $M$9:$N$18, 2), $A$9:$J$18, MATCH(VLOOKUP(B35, $M$9:$N$18, 2), $A$9:$J$9, 0))</t>
  </si>
  <si>
    <t>column number</t>
  </si>
  <si>
    <t>firstly calculate the row name and column name using vlookup in Table_B</t>
  </si>
  <si>
    <t>then calculate the column number of column name using match on header of Table_A</t>
  </si>
  <si>
    <t xml:space="preserve">then vlookup for the row name and column number in Table_A to fatch the value. </t>
  </si>
  <si>
    <t>Intermidate values for verification purpose only.</t>
  </si>
  <si>
    <t>row name</t>
  </si>
  <si>
    <t>column name</t>
  </si>
  <si>
    <t>SUM(IF(ISNA(C12:C21),20,C12:C21)) this didn't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</si>
</sst>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F1" zoomScale="80" zoomScaleNormal="100" workbookViewId="0">
      <pane ySplit="1" topLeftCell="A3" activePane="bottomLeft" state="frozen"/>
      <selection pane="bottomLeft" activeCell="A27" sqref="A27:XFD27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 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G2:W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C28" sqref="C2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165</v>
      </c>
    </row>
    <row r="2" spans="1:7" s="40" customFormat="1" ht="21" x14ac:dyDescent="0.5">
      <c r="B2" s="40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163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INDEX(Dataset!$A$1:$X$40, MATCH($A6, Dataset!$A$1:$A$40, 0), MATCH(B$5, Dataset!$A$1:$X$1, 0))</f>
        <v>2.7</v>
      </c>
      <c r="C6" s="11">
        <f>INDEX(Dataset!$A$1:$X$40, MATCH($A6, Dataset!$A$1:$A$40, 0), MATCH(C$5, Dataset!$A$1:$X$1, 0))</f>
        <v>7.6</v>
      </c>
      <c r="D6" s="11">
        <f>INDEX(Dataset!$A$1:$X$40, MATCH($A6, Dataset!$A$1:$A$40, 0), MATCH(D$5, Dataset!$A$1:$X$1, 0))</f>
        <v>4.2</v>
      </c>
      <c r="E6" s="11">
        <f>INDEX(Dataset!$A$1:$X$40, MATCH($A6, Dataset!$A$1:$A$40, 0), MATCH(E$5, Dataset!$A$1:$X$1, 0))</f>
        <v>8.9</v>
      </c>
      <c r="F6" s="11">
        <f>INDEX(Dataset!$A$1:$X$40, MATCH($A6, Dataset!$A$1:$A$40, 0), MATCH(F$5, Dataset!$A$1:$X$1, 0))</f>
        <v>4.2</v>
      </c>
    </row>
    <row r="7" spans="1:7" ht="14.5" x14ac:dyDescent="0.35">
      <c r="A7" s="7" t="s">
        <v>4</v>
      </c>
      <c r="B7" s="11">
        <f>INDEX(Dataset!$A$1:$X$40, MATCH($A7, Dataset!$A$1:$A$40, 0), MATCH(B$5, Dataset!$A$1:$X$1, 0))</f>
        <v>2.7</v>
      </c>
      <c r="C7" s="11">
        <f>INDEX(Dataset!$A$1:$X$40, MATCH($A7, Dataset!$A$1:$A$40, 0), MATCH(C$5, Dataset!$A$1:$X$1, 0))</f>
        <v>7.6</v>
      </c>
      <c r="D7" s="11">
        <f>INDEX(Dataset!$A$1:$X$40, MATCH($A7, Dataset!$A$1:$A$40, 0), MATCH(D$5, Dataset!$A$1:$X$1, 0))</f>
        <v>4.2</v>
      </c>
      <c r="E7" s="11">
        <f>INDEX(Dataset!$A$1:$X$40, MATCH($A7, Dataset!$A$1:$A$40, 0), MATCH(E$5, Dataset!$A$1:$X$1, 0))</f>
        <v>8.9</v>
      </c>
      <c r="F7" s="11">
        <f>INDEX(Dataset!$A$1:$X$40, MATCH($A7, Dataset!$A$1:$A$40, 0), MATCH(F$5, Dataset!$A$1:$X$1, 0))</f>
        <v>4.2</v>
      </c>
    </row>
    <row r="8" spans="1:7" ht="14.5" x14ac:dyDescent="0.35">
      <c r="A8" s="7" t="s">
        <v>7</v>
      </c>
      <c r="B8" s="11">
        <f>INDEX(Dataset!$A$1:$X$40, MATCH($A8, Dataset!$A$1:$A$40, 0), MATCH(B$5, Dataset!$A$1:$X$1, 0))</f>
        <v>3.6</v>
      </c>
      <c r="C8" s="11">
        <f>INDEX(Dataset!$A$1:$X$40, MATCH($A8, Dataset!$A$1:$A$40, 0), MATCH(C$5, Dataset!$A$1:$X$1, 0))</f>
        <v>11.1</v>
      </c>
      <c r="D8" s="11">
        <f>INDEX(Dataset!$A$1:$X$40, MATCH($A8, Dataset!$A$1:$A$40, 0), MATCH(D$5, Dataset!$A$1:$X$1, 0))</f>
        <v>5.8</v>
      </c>
      <c r="E8" s="11">
        <f>INDEX(Dataset!$A$1:$X$40, MATCH($A8, Dataset!$A$1:$A$40, 0), MATCH(E$5, Dataset!$A$1:$X$1, 0))</f>
        <v>12.2</v>
      </c>
      <c r="F8" s="11">
        <f>INDEX(Dataset!$A$1:$X$40, MATCH($A8, Dataset!$A$1:$A$40, 0), MATCH(F$5, Dataset!$A$1:$X$1, 0))</f>
        <v>5.8</v>
      </c>
    </row>
    <row r="9" spans="1:7" ht="14.5" x14ac:dyDescent="0.35">
      <c r="A9" s="7" t="s">
        <v>8</v>
      </c>
      <c r="B9" s="11">
        <f>INDEX(Dataset!$A$1:$X$40, MATCH($A9, Dataset!$A$1:$A$40, 0), MATCH(B$5, Dataset!$A$1:$X$1, 0))</f>
        <v>4.9000000000000004</v>
      </c>
      <c r="C9" s="11">
        <f>INDEX(Dataset!$A$1:$X$40, MATCH($A9, Dataset!$A$1:$A$40, 0), MATCH(C$5, Dataset!$A$1:$X$1, 0))</f>
        <v>13.3</v>
      </c>
      <c r="D9" s="11">
        <f>INDEX(Dataset!$A$1:$X$40, MATCH($A9, Dataset!$A$1:$A$40, 0), MATCH(D$5, Dataset!$A$1:$X$1, 0))</f>
        <v>8.1</v>
      </c>
      <c r="E9" s="11">
        <f>INDEX(Dataset!$A$1:$X$40, MATCH($A9, Dataset!$A$1:$A$40, 0), MATCH(E$5, Dataset!$A$1:$X$1, 0))</f>
        <v>17</v>
      </c>
      <c r="F9" s="11">
        <f>INDEX(Dataset!$A$1:$X$40, MATCH($A9, Dataset!$A$1:$A$40, 0), MATCH(F$5, Dataset!$A$1:$X$1, 0))</f>
        <v>8.1</v>
      </c>
    </row>
    <row r="10" spans="1:7" ht="14.5" x14ac:dyDescent="0.35">
      <c r="A10" s="7" t="s">
        <v>11</v>
      </c>
      <c r="B10" s="11">
        <f>INDEX(Dataset!$A$1:$X$40, MATCH($A10, Dataset!$A$1:$A$40, 0), MATCH(B$5, Dataset!$A$1:$X$1, 0))</f>
        <v>9.4</v>
      </c>
      <c r="C10" s="11">
        <f>INDEX(Dataset!$A$1:$X$40, MATCH($A10, Dataset!$A$1:$A$40, 0), MATCH(C$5, Dataset!$A$1:$X$1, 0))</f>
        <v>28.3</v>
      </c>
      <c r="D10" s="11">
        <f>INDEX(Dataset!$A$1:$X$40, MATCH($A10, Dataset!$A$1:$A$40, 0), MATCH(D$5, Dataset!$A$1:$X$1, 0))</f>
        <v>16.100000000000001</v>
      </c>
      <c r="E10" s="11">
        <f>INDEX(Dataset!$A$1:$X$40, MATCH($A10, Dataset!$A$1:$A$40, 0), MATCH(E$5, Dataset!$A$1:$X$1, 0))</f>
        <v>32.799999999999997</v>
      </c>
      <c r="F10" s="11">
        <f>INDEX(Dataset!$A$1:$X$40, MATCH($A10, Dataset!$A$1:$A$40, 0), MATCH(F$5, Dataset!$A$1:$X$1, 0))</f>
        <v>16.100000000000001</v>
      </c>
    </row>
    <row r="11" spans="1:7" ht="14.5" x14ac:dyDescent="0.35">
      <c r="A11" s="7" t="s">
        <v>12</v>
      </c>
      <c r="B11" s="11">
        <f>INDEX(Dataset!$A$1:$X$40, MATCH($A11, Dataset!$A$1:$A$40, 0), MATCH(B$5, Dataset!$A$1:$X$1, 0))</f>
        <v>11.6</v>
      </c>
      <c r="C11" s="11">
        <f>INDEX(Dataset!$A$1:$X$40, MATCH($A11, Dataset!$A$1:$A$40, 0), MATCH(C$5, Dataset!$A$1:$X$1, 0))</f>
        <v>35.200000000000003</v>
      </c>
      <c r="D11" s="11">
        <f>INDEX(Dataset!$A$1:$X$40, MATCH($A11, Dataset!$A$1:$A$40, 0), MATCH(D$5, Dataset!$A$1:$X$1, 0))</f>
        <v>21.3</v>
      </c>
      <c r="E11" s="11">
        <f>INDEX(Dataset!$A$1:$X$40, MATCH($A11, Dataset!$A$1:$A$40, 0), MATCH(E$5, Dataset!$A$1:$X$1, 0))</f>
        <v>43</v>
      </c>
      <c r="F11" s="11">
        <f>INDEX(Dataset!$A$1:$X$40, MATCH($A11, Dataset!$A$1:$A$40, 0), MATCH(F$5, Dataset!$A$1:$X$1, 0))</f>
        <v>21.3</v>
      </c>
    </row>
    <row r="12" spans="1:7" ht="14.5" x14ac:dyDescent="0.35">
      <c r="A12" s="7" t="s">
        <v>14</v>
      </c>
      <c r="B12" s="11">
        <f>INDEX(Dataset!$A$1:$X$40, MATCH($A12, Dataset!$A$1:$A$40, 0), MATCH(B$5, Dataset!$A$1:$X$1, 0))</f>
        <v>18.399999999999999</v>
      </c>
      <c r="C12" s="11">
        <f>INDEX(Dataset!$A$1:$X$40, MATCH($A12, Dataset!$A$1:$A$40, 0), MATCH(C$5, Dataset!$A$1:$X$1, 0))</f>
        <v>55.6</v>
      </c>
      <c r="D12" s="11">
        <f>INDEX(Dataset!$A$1:$X$40, MATCH($A12, Dataset!$A$1:$A$40, 0), MATCH(D$5, Dataset!$A$1:$X$1, 0))</f>
        <v>33.799999999999997</v>
      </c>
      <c r="E12" s="11">
        <f>INDEX(Dataset!$A$1:$X$40, MATCH($A12, Dataset!$A$1:$A$40, 0), MATCH(E$5, Dataset!$A$1:$X$1, 0))</f>
        <v>67.900000000000006</v>
      </c>
      <c r="F12" s="11">
        <f>INDEX(Dataset!$A$1:$X$40, MATCH($A12, Dataset!$A$1:$A$40, 0), MATCH(F$5, Dataset!$A$1:$X$1, 0))</f>
        <v>33.799999999999997</v>
      </c>
    </row>
    <row r="13" spans="1:7" ht="14.5" x14ac:dyDescent="0.35">
      <c r="A13" s="7" t="s">
        <v>15</v>
      </c>
      <c r="B13" s="11">
        <f>INDEX(Dataset!$A$1:$X$40, MATCH($A13, Dataset!$A$1:$A$40, 0), MATCH(B$5, Dataset!$A$1:$X$1, 0))</f>
        <v>0</v>
      </c>
      <c r="C13" s="11">
        <f>INDEX(Dataset!$A$1:$X$40, MATCH($A13, Dataset!$A$1:$A$40, 0), MATCH(C$5, Dataset!$A$1:$X$1, 0))</f>
        <v>0</v>
      </c>
      <c r="D13" s="11">
        <f>INDEX(Dataset!$A$1:$X$40, MATCH($A13, Dataset!$A$1:$A$40, 0), MATCH(D$5, Dataset!$A$1:$X$1, 0))</f>
        <v>0</v>
      </c>
      <c r="E13" s="11">
        <f>INDEX(Dataset!$A$1:$X$40, MATCH($A13, Dataset!$A$1:$A$40, 0), MATCH(E$5, Dataset!$A$1:$X$1, 0))</f>
        <v>0</v>
      </c>
      <c r="F13" s="11">
        <f>INDEX(Dataset!$A$1:$X$40, MATCH($A13, Dataset!$A$1:$A$40, 0), MATCH(F$5, Dataset!$A$1:$X$1, 0))</f>
        <v>0</v>
      </c>
    </row>
    <row r="14" spans="1:7" ht="14.5" x14ac:dyDescent="0.35">
      <c r="A14" s="7" t="s">
        <v>16</v>
      </c>
      <c r="B14" s="11">
        <f>INDEX(Dataset!$A$1:$X$40, MATCH($A14, Dataset!$A$1:$A$40, 0), MATCH(B$5, Dataset!$A$1:$X$1, 0))</f>
        <v>21.9</v>
      </c>
      <c r="C14" s="11">
        <f>INDEX(Dataset!$A$1:$X$40, MATCH($A14, Dataset!$A$1:$A$40, 0), MATCH(C$5, Dataset!$A$1:$X$1, 0))</f>
        <v>61.5</v>
      </c>
      <c r="D14" s="11">
        <f>INDEX(Dataset!$A$1:$X$40, MATCH($A14, Dataset!$A$1:$A$40, 0), MATCH(D$5, Dataset!$A$1:$X$1, 0))</f>
        <v>40.1</v>
      </c>
      <c r="E14" s="11">
        <f>INDEX(Dataset!$A$1:$X$40, MATCH($A14, Dataset!$A$1:$A$40, 0), MATCH(E$5, Dataset!$A$1:$X$1, 0))</f>
        <v>76.599999999999994</v>
      </c>
      <c r="F14" s="11">
        <f>INDEX(Dataset!$A$1:$X$40, MATCH($A14, Dataset!$A$1:$A$40, 0), MATCH(F$5, Dataset!$A$1:$X$1, 0))</f>
        <v>40.1</v>
      </c>
    </row>
    <row r="15" spans="1:7" ht="14.5" x14ac:dyDescent="0.35">
      <c r="A15" s="7" t="s">
        <v>18</v>
      </c>
      <c r="B15" s="11">
        <f>INDEX(Dataset!$A$1:$X$40, MATCH($A15, Dataset!$A$1:$A$40, 0), MATCH(B$5, Dataset!$A$1:$X$1, 0))</f>
        <v>26.8</v>
      </c>
      <c r="C15" s="11">
        <f>INDEX(Dataset!$A$1:$X$40, MATCH($A15, Dataset!$A$1:$A$40, 0), MATCH(C$5, Dataset!$A$1:$X$1, 0))</f>
        <v>79.599999999999994</v>
      </c>
      <c r="D15" s="11">
        <f>INDEX(Dataset!$A$1:$X$40, MATCH($A15, Dataset!$A$1:$A$40, 0), MATCH(D$5, Dataset!$A$1:$X$1, 0))</f>
        <v>47.9</v>
      </c>
      <c r="E15" s="11">
        <f>INDEX(Dataset!$A$1:$X$40, MATCH($A15, Dataset!$A$1:$A$40, 0), MATCH(E$5, Dataset!$A$1:$X$1, 0))</f>
        <v>96.8</v>
      </c>
      <c r="F15" s="11">
        <f>INDEX(Dataset!$A$1:$X$40, MATCH($A15, Dataset!$A$1:$A$40, 0), MATCH(F$5, Dataset!$A$1:$X$1, 0))</f>
        <v>47.9</v>
      </c>
    </row>
    <row r="16" spans="1:7" ht="14.5" x14ac:dyDescent="0.35">
      <c r="A16" s="7" t="s">
        <v>20</v>
      </c>
      <c r="B16" s="11">
        <f>INDEX(Dataset!$A$1:$X$40, MATCH($A16, Dataset!$A$1:$A$40, 0), MATCH(B$5, Dataset!$A$1:$X$1, 0))</f>
        <v>28.5</v>
      </c>
      <c r="C16" s="11">
        <f>INDEX(Dataset!$A$1:$X$40, MATCH($A16, Dataset!$A$1:$A$40, 0), MATCH(C$5, Dataset!$A$1:$X$1, 0))</f>
        <v>85.4</v>
      </c>
      <c r="D16" s="11">
        <f>INDEX(Dataset!$A$1:$X$40, MATCH($A16, Dataset!$A$1:$A$40, 0), MATCH(D$5, Dataset!$A$1:$X$1, 0))</f>
        <v>52.3</v>
      </c>
      <c r="E16" s="11">
        <f>INDEX(Dataset!$A$1:$X$40, MATCH($A16, Dataset!$A$1:$A$40, 0), MATCH(E$5, Dataset!$A$1:$X$1, 0))</f>
        <v>106.1</v>
      </c>
      <c r="F16" s="11">
        <f>INDEX(Dataset!$A$1:$X$40, MATCH($A16, Dataset!$A$1:$A$40, 0), MATCH(F$5, Dataset!$A$1:$X$1, 0))</f>
        <v>52.3</v>
      </c>
    </row>
    <row r="17" spans="1:6" ht="14.5" x14ac:dyDescent="0.35">
      <c r="A17" s="7" t="s">
        <v>22</v>
      </c>
      <c r="B17" s="11">
        <f>INDEX(Dataset!$A$1:$X$40, MATCH($A17, Dataset!$A$1:$A$40, 0), MATCH(B$5, Dataset!$A$1:$X$1, 0))</f>
        <v>30.7</v>
      </c>
      <c r="C17" s="11">
        <f>INDEX(Dataset!$A$1:$X$40, MATCH($A17, Dataset!$A$1:$A$40, 0), MATCH(C$5, Dataset!$A$1:$X$1, 0))</f>
        <v>92.1</v>
      </c>
      <c r="D17" s="11">
        <f>INDEX(Dataset!$A$1:$X$40, MATCH($A17, Dataset!$A$1:$A$40, 0), MATCH(D$5, Dataset!$A$1:$X$1, 0))</f>
        <v>57</v>
      </c>
      <c r="E17" s="11">
        <f>INDEX(Dataset!$A$1:$X$40, MATCH($A17, Dataset!$A$1:$A$40, 0), MATCH(E$5, Dataset!$A$1:$X$1, 0))</f>
        <v>115.1</v>
      </c>
      <c r="F17" s="11">
        <f>INDEX(Dataset!$A$1:$X$40, MATCH($A17, Dataset!$A$1:$A$40, 0), MATCH(F$5, Dataset!$A$1:$X$1, 0))</f>
        <v>57</v>
      </c>
    </row>
    <row r="18" spans="1:6" ht="14.5" x14ac:dyDescent="0.35">
      <c r="A18" s="7" t="s">
        <v>23</v>
      </c>
      <c r="B18" s="11">
        <f>INDEX(Dataset!$A$1:$X$40, MATCH($A18, Dataset!$A$1:$A$40, 0), MATCH(B$5, Dataset!$A$1:$X$1, 0))</f>
        <v>33.799999999999997</v>
      </c>
      <c r="C18" s="11">
        <f>INDEX(Dataset!$A$1:$X$40, MATCH($A18, Dataset!$A$1:$A$40, 0), MATCH(C$5, Dataset!$A$1:$X$1, 0))</f>
        <v>101.3</v>
      </c>
      <c r="D18" s="11">
        <f>INDEX(Dataset!$A$1:$X$40, MATCH($A18, Dataset!$A$1:$A$40, 0), MATCH(D$5, Dataset!$A$1:$X$1, 0))</f>
        <v>61.4</v>
      </c>
      <c r="E18" s="11">
        <f>INDEX(Dataset!$A$1:$X$40, MATCH($A18, Dataset!$A$1:$A$40, 0), MATCH(E$5, Dataset!$A$1:$X$1, 0))</f>
        <v>124.4</v>
      </c>
      <c r="F18" s="11">
        <f>INDEX(Dataset!$A$1:$X$40, MATCH($A18, Dataset!$A$1:$A$40, 0), MATCH(F$5, Dataset!$A$1:$X$1, 0))</f>
        <v>61.4</v>
      </c>
    </row>
    <row r="19" spans="1:6" ht="14.5" x14ac:dyDescent="0.35">
      <c r="A19" s="7" t="s">
        <v>24</v>
      </c>
      <c r="B19" s="11">
        <f>INDEX(Dataset!$A$1:$X$40, MATCH($A19, Dataset!$A$1:$A$40, 0), MATCH(B$5, Dataset!$A$1:$X$1, 0))</f>
        <v>34.700000000000003</v>
      </c>
      <c r="C19" s="11">
        <f>INDEX(Dataset!$A$1:$X$40, MATCH($A19, Dataset!$A$1:$A$40, 0), MATCH(C$5, Dataset!$A$1:$X$1, 0))</f>
        <v>106.1</v>
      </c>
      <c r="D19" s="11">
        <f>INDEX(Dataset!$A$1:$X$40, MATCH($A19, Dataset!$A$1:$A$40, 0), MATCH(D$5, Dataset!$A$1:$X$1, 0))</f>
        <v>63.6</v>
      </c>
      <c r="E19" s="11">
        <f>INDEX(Dataset!$A$1:$X$40, MATCH($A19, Dataset!$A$1:$A$40, 0), MATCH(E$5, Dataset!$A$1:$X$1, 0))</f>
        <v>128.6</v>
      </c>
      <c r="F19" s="11">
        <f>INDEX(Dataset!$A$1:$X$40, MATCH($A19, Dataset!$A$1:$A$40, 0), MATCH(F$5, Dataset!$A$1:$X$1, 0))</f>
        <v>63.6</v>
      </c>
    </row>
    <row r="20" spans="1:6" ht="14.5" x14ac:dyDescent="0.35">
      <c r="A20" s="7" t="s">
        <v>28</v>
      </c>
      <c r="B20" s="11">
        <f>INDEX(Dataset!$A$1:$X$40, MATCH($A20, Dataset!$A$1:$A$40, 0), MATCH(B$5, Dataset!$A$1:$X$1, 0))</f>
        <v>0</v>
      </c>
      <c r="C20" s="11">
        <f>INDEX(Dataset!$A$1:$X$40, MATCH($A20, Dataset!$A$1:$A$40, 0), MATCH(C$5, Dataset!$A$1:$X$1, 0))</f>
        <v>0</v>
      </c>
      <c r="D20" s="11">
        <f>INDEX(Dataset!$A$1:$X$40, MATCH($A20, Dataset!$A$1:$A$40, 0), MATCH(D$5, Dataset!$A$1:$X$1, 0))</f>
        <v>0</v>
      </c>
      <c r="E20" s="11">
        <f>INDEX(Dataset!$A$1:$X$40, MATCH($A20, Dataset!$A$1:$A$40, 0), MATCH(E$5, Dataset!$A$1:$X$1, 0))</f>
        <v>0</v>
      </c>
      <c r="F20" s="11">
        <f>INDEX(Dataset!$A$1:$X$40, MATCH($A20, Dataset!$A$1:$A$40, 0), MATCH(F$5, Dataset!$A$1:$X$1, 0))</f>
        <v>0</v>
      </c>
    </row>
    <row r="21" spans="1:6" ht="14.5" x14ac:dyDescent="0.35">
      <c r="A21" s="7" t="s">
        <v>57</v>
      </c>
      <c r="B21" s="11">
        <f>INDEX(Dataset!$A$1:$X$40, MATCH($A21, Dataset!$A$1:$A$40, 0), MATCH(B$5, Dataset!$A$1:$X$1, 0))</f>
        <v>41.3</v>
      </c>
      <c r="C21" s="11">
        <f>INDEX(Dataset!$A$1:$X$40, MATCH($A21, Dataset!$A$1:$A$40, 0), MATCH(C$5, Dataset!$A$1:$X$1, 0))</f>
        <v>124.4</v>
      </c>
      <c r="D21" s="11">
        <f>INDEX(Dataset!$A$1:$X$40, MATCH($A21, Dataset!$A$1:$A$40, 0), MATCH(D$5, Dataset!$A$1:$X$1, 0))</f>
        <v>75</v>
      </c>
      <c r="E21" s="11">
        <f>INDEX(Dataset!$A$1:$X$40, MATCH($A21, Dataset!$A$1:$A$40, 0), MATCH(E$5, Dataset!$A$1:$X$1, 0))</f>
        <v>151.5</v>
      </c>
      <c r="F21" s="11">
        <f>INDEX(Dataset!$A$1:$X$40, MATCH($A21, Dataset!$A$1:$A$40, 0), MATCH(F$5, Dataset!$A$1:$X$1, 0))</f>
        <v>75</v>
      </c>
    </row>
    <row r="22" spans="1:6" ht="14.5" x14ac:dyDescent="0.35">
      <c r="A22" s="7" t="s">
        <v>58</v>
      </c>
      <c r="B22" s="11">
        <f>INDEX(Dataset!$A$1:$X$40, MATCH($A22, Dataset!$A$1:$A$40, 0), MATCH(B$5, Dataset!$A$1:$X$1, 0))</f>
        <v>-1</v>
      </c>
      <c r="C22" s="11">
        <f>INDEX(Dataset!$A$1:$X$40, MATCH($A22, Dataset!$A$1:$A$40, 0), MATCH(C$5, Dataset!$A$1:$X$1, 0))</f>
        <v>-1</v>
      </c>
      <c r="D22" s="11">
        <f>INDEX(Dataset!$A$1:$X$40, MATCH($A22, Dataset!$A$1:$A$40, 0), MATCH(D$5, Dataset!$A$1:$X$1, 0))</f>
        <v>-1</v>
      </c>
      <c r="E22" s="11">
        <f>INDEX(Dataset!$A$1:$X$40, MATCH($A22, Dataset!$A$1:$A$40, 0), MATCH(E$5, Dataset!$A$1:$X$1, 0))</f>
        <v>-1</v>
      </c>
      <c r="F22" s="11">
        <f>INDEX(Dataset!$A$1:$X$40, MATCH($A22, Dataset!$A$1:$A$40, 0), MATCH(F$5, Dataset!$A$1:$X$1, 0))</f>
        <v>-1</v>
      </c>
    </row>
    <row r="23" spans="1:6" ht="14.5" x14ac:dyDescent="0.35">
      <c r="A23" s="7" t="s">
        <v>31</v>
      </c>
      <c r="B23" s="11">
        <f>INDEX(Dataset!$A$1:$X$40, MATCH($A23, Dataset!$A$1:$A$40, 0), MATCH(B$5, Dataset!$A$1:$X$1, 0))</f>
        <v>45</v>
      </c>
      <c r="C23" s="11">
        <f>INDEX(Dataset!$A$1:$X$40, MATCH($A23, Dataset!$A$1:$A$40, 0), MATCH(C$5, Dataset!$A$1:$X$1, 0))</f>
        <v>133.4</v>
      </c>
      <c r="D23" s="11">
        <f>INDEX(Dataset!$A$1:$X$40, MATCH($A23, Dataset!$A$1:$A$40, 0), MATCH(D$5, Dataset!$A$1:$X$1, 0))</f>
        <v>79.400000000000006</v>
      </c>
      <c r="E23" s="11">
        <f>INDEX(Dataset!$A$1:$X$40, MATCH($A23, Dataset!$A$1:$A$40, 0), MATCH(E$5, Dataset!$A$1:$X$1, 0))</f>
        <v>160.9</v>
      </c>
      <c r="F23" s="11">
        <f>INDEX(Dataset!$A$1:$X$40, MATCH($A23, Dataset!$A$1:$A$40, 0), MATCH(F$5, Dataset!$A$1:$X$1, 0))</f>
        <v>79.400000000000006</v>
      </c>
    </row>
    <row r="24" spans="1:6" ht="14.5" x14ac:dyDescent="0.35">
      <c r="A24" s="7" t="s">
        <v>32</v>
      </c>
      <c r="B24" s="11">
        <f>INDEX(Dataset!$A$1:$X$40, MATCH($A24, Dataset!$A$1:$A$40, 0), MATCH(B$5, Dataset!$A$1:$X$1, 0))</f>
        <v>-1</v>
      </c>
      <c r="C24" s="11">
        <f>INDEX(Dataset!$A$1:$X$40, MATCH($A24, Dataset!$A$1:$A$40, 0), MATCH(C$5, Dataset!$A$1:$X$1, 0))</f>
        <v>-1</v>
      </c>
      <c r="D24" s="11">
        <f>INDEX(Dataset!$A$1:$X$40, MATCH($A24, Dataset!$A$1:$A$40, 0), MATCH(D$5, Dataset!$A$1:$X$1, 0))</f>
        <v>-1</v>
      </c>
      <c r="E24" s="11">
        <f>INDEX(Dataset!$A$1:$X$40, MATCH($A24, Dataset!$A$1:$A$40, 0), MATCH(E$5, Dataset!$A$1:$X$1, 0))</f>
        <v>-1</v>
      </c>
      <c r="F24" s="11">
        <f>INDEX(Dataset!$A$1:$X$40, MATCH($A24, Dataset!$A$1:$A$40, 0), MATCH(F$5, Dataset!$A$1:$X$1, 0))</f>
        <v>-1</v>
      </c>
    </row>
    <row r="25" spans="1:6" ht="14.5" x14ac:dyDescent="0.35">
      <c r="A25" s="7" t="s">
        <v>34</v>
      </c>
      <c r="B25" s="11">
        <f>INDEX(Dataset!$A$1:$X$40, MATCH($A25, Dataset!$A$1:$A$40, 0), MATCH(B$5, Dataset!$A$1:$X$1, 0))</f>
        <v>43.3</v>
      </c>
      <c r="C25" s="11">
        <f>INDEX(Dataset!$A$1:$X$40, MATCH($A25, Dataset!$A$1:$A$40, 0), MATCH(C$5, Dataset!$A$1:$X$1, 0))</f>
        <v>128.6</v>
      </c>
      <c r="D25" s="11">
        <f>INDEX(Dataset!$A$1:$X$40, MATCH($A25, Dataset!$A$1:$A$40, 0), MATCH(D$5, Dataset!$A$1:$X$1, 0))</f>
        <v>79.400000000000006</v>
      </c>
      <c r="E25" s="11">
        <f>INDEX(Dataset!$A$1:$X$40, MATCH($A25, Dataset!$A$1:$A$40, 0), MATCH(E$5, Dataset!$A$1:$X$1, 0))</f>
        <v>160.9</v>
      </c>
      <c r="F25" s="11">
        <f>INDEX(Dataset!$A$1:$X$40, MATCH($A25, Dataset!$A$1:$A$40, 0), MATCH(F$5, Dataset!$A$1:$X$1, 0))</f>
        <v>79.400000000000006</v>
      </c>
    </row>
    <row r="26" spans="1:6" ht="14.5" x14ac:dyDescent="0.35">
      <c r="A26" s="7" t="s">
        <v>37</v>
      </c>
      <c r="B26" s="11">
        <f>INDEX(Dataset!$A$1:$X$40, MATCH($A26, Dataset!$A$1:$A$40, 0), MATCH(B$5, Dataset!$A$1:$X$1, 0))</f>
        <v>49.1</v>
      </c>
      <c r="C26" s="11">
        <f>INDEX(Dataset!$A$1:$X$40, MATCH($A26, Dataset!$A$1:$A$40, 0), MATCH(C$5, Dataset!$A$1:$X$1, 0))</f>
        <v>146.80000000000001</v>
      </c>
      <c r="D26" s="11">
        <f>INDEX(Dataset!$A$1:$X$40, MATCH($A26, Dataset!$A$1:$A$40, 0), MATCH(D$5, Dataset!$A$1:$X$1, 0))</f>
        <v>90.9</v>
      </c>
      <c r="E26" s="11">
        <f>INDEX(Dataset!$A$1:$X$40, MATCH($A26, Dataset!$A$1:$A$40, 0), MATCH(E$5, Dataset!$A$1:$X$1, 0))</f>
        <v>183.5</v>
      </c>
      <c r="F26" s="11">
        <f>INDEX(Dataset!$A$1:$X$40, MATCH($A26, Dataset!$A$1:$A$40, 0), MATCH(F$5, Dataset!$A$1:$X$1, 0))</f>
        <v>90.9</v>
      </c>
    </row>
    <row r="27" spans="1:6" ht="14.5" x14ac:dyDescent="0.35">
      <c r="A27" s="7" t="s">
        <v>39</v>
      </c>
      <c r="B27" s="11">
        <f>INDEX(Dataset!$A$1:$X$40, MATCH($A27, Dataset!$A$1:$A$40, 0), MATCH(B$5, Dataset!$A$1:$X$1, 0))</f>
        <v>51.8</v>
      </c>
      <c r="C27" s="11">
        <f>INDEX(Dataset!$A$1:$X$40, MATCH($A27, Dataset!$A$1:$A$40, 0), MATCH(C$5, Dataset!$A$1:$X$1, 0))</f>
        <v>156.4</v>
      </c>
      <c r="D27" s="11">
        <f>INDEX(Dataset!$A$1:$X$40, MATCH($A27, Dataset!$A$1:$A$40, 0), MATCH(D$5, Dataset!$A$1:$X$1, 0))</f>
        <v>93.1</v>
      </c>
      <c r="E27" s="11">
        <f>INDEX(Dataset!$A$1:$X$40, MATCH($A27, Dataset!$A$1:$A$40, 0), MATCH(E$5, Dataset!$A$1:$X$1, 0))</f>
        <v>188.1</v>
      </c>
      <c r="F27" s="11">
        <f>INDEX(Dataset!$A$1:$X$40, MATCH($A27, Dataset!$A$1:$A$40, 0), MATCH(F$5, Dataset!$A$1:$X$1, 0))</f>
        <v>93.1</v>
      </c>
    </row>
    <row r="28" spans="1:6" ht="14.5" x14ac:dyDescent="0.35">
      <c r="A28" s="18" t="s">
        <v>82</v>
      </c>
      <c r="B28" s="30">
        <f>MIN(B$6:B$27)</f>
        <v>-1</v>
      </c>
      <c r="C28" s="30">
        <f t="shared" ref="C28:F28" si="0">MIN(C$6:C$27)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B6" sqref="B6: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154</v>
      </c>
      <c r="B6" s="1" t="s">
        <v>178</v>
      </c>
    </row>
    <row r="7" spans="1:10" ht="18.5" x14ac:dyDescent="0.45">
      <c r="A7" s="42"/>
      <c r="B7" s="1" t="s">
        <v>179</v>
      </c>
    </row>
    <row r="8" spans="1:10" x14ac:dyDescent="0.35">
      <c r="B8" s="1" t="s">
        <v>180</v>
      </c>
    </row>
    <row r="9" spans="1:10" ht="23.5" x14ac:dyDescent="0.55000000000000004">
      <c r="A9" s="17" t="s">
        <v>166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163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zoomScaleNormal="100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168</v>
      </c>
    </row>
    <row r="2" spans="1:3" ht="18.5" x14ac:dyDescent="0.45">
      <c r="B2" s="39" t="s">
        <v>167</v>
      </c>
    </row>
    <row r="5" spans="1:3" ht="14.5" x14ac:dyDescent="0.35">
      <c r="B5" s="1" t="s">
        <v>152</v>
      </c>
    </row>
    <row r="6" spans="1:3" ht="14.5" x14ac:dyDescent="0.35">
      <c r="A6" s="3" t="s">
        <v>53</v>
      </c>
      <c r="B6" s="2" t="s">
        <v>181</v>
      </c>
    </row>
    <row r="7" spans="1:3" ht="14.5" x14ac:dyDescent="0.35">
      <c r="A7" s="3" t="s">
        <v>154</v>
      </c>
      <c r="B7" s="1" t="s">
        <v>182</v>
      </c>
    </row>
    <row r="8" spans="1:3" x14ac:dyDescent="0.3">
      <c r="B8" s="2" t="s">
        <v>191</v>
      </c>
    </row>
    <row r="10" spans="1:3" ht="23.5" x14ac:dyDescent="0.55000000000000004">
      <c r="A10" s="17" t="s">
        <v>163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155</v>
      </c>
      <c r="C17" s="16">
        <v>150</v>
      </c>
    </row>
    <row r="18" spans="1:3" ht="14.5" x14ac:dyDescent="0.35">
      <c r="A18" s="31">
        <v>44933</v>
      </c>
      <c r="B18" s="16" t="s">
        <v>156</v>
      </c>
      <c r="C18" s="16">
        <v>80</v>
      </c>
    </row>
    <row r="19" spans="1:3" ht="14.5" x14ac:dyDescent="0.35">
      <c r="A19" s="31">
        <v>44934</v>
      </c>
      <c r="B19" s="16" t="s">
        <v>157</v>
      </c>
      <c r="C19" s="16" t="e">
        <v>#N/A</v>
      </c>
    </row>
    <row r="20" spans="1:3" ht="14.5" x14ac:dyDescent="0.35">
      <c r="A20" s="31">
        <v>44935</v>
      </c>
      <c r="B20" s="16" t="s">
        <v>158</v>
      </c>
      <c r="C20" s="16">
        <v>30</v>
      </c>
    </row>
    <row r="21" spans="1:3" ht="14.5" x14ac:dyDescent="0.35">
      <c r="A21" s="31">
        <v>44936</v>
      </c>
      <c r="B21" s="16" t="s">
        <v>159</v>
      </c>
      <c r="C21" s="16" t="e">
        <v>#N/A</v>
      </c>
    </row>
    <row r="22" spans="1:3" ht="14.5" x14ac:dyDescent="0.35">
      <c r="B22" s="16" t="s">
        <v>160</v>
      </c>
      <c r="C22" s="2">
        <f>SUMIF(C12:C21, "&lt;&gt;#N/A" ) + 20*COUNTIF(C12:C21, "#N/A")</f>
        <v>600</v>
      </c>
    </row>
    <row r="23" spans="1:3" x14ac:dyDescent="0.3">
      <c r="C23" s="2" t="e">
        <f>SUM(IF(ISNA(C12:C21),20,C12:C21))</f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0" zoomScaleNormal="100" workbookViewId="0">
      <selection activeCell="I22" sqref="I22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176</v>
      </c>
    </row>
    <row r="3" spans="1:14" ht="14.5" x14ac:dyDescent="0.35">
      <c r="B3" s="1" t="s">
        <v>152</v>
      </c>
    </row>
    <row r="4" spans="1:14" ht="18.5" x14ac:dyDescent="0.45">
      <c r="A4" s="42" t="s">
        <v>53</v>
      </c>
      <c r="B4" s="1"/>
      <c r="C4" s="2" t="s">
        <v>183</v>
      </c>
    </row>
    <row r="5" spans="1:14" ht="18.5" x14ac:dyDescent="0.45">
      <c r="A5" s="42" t="s">
        <v>154</v>
      </c>
      <c r="B5" s="1" t="s">
        <v>185</v>
      </c>
    </row>
    <row r="6" spans="1:14" ht="14.5" x14ac:dyDescent="0.35">
      <c r="A6" s="3"/>
      <c r="B6" s="1" t="s">
        <v>186</v>
      </c>
    </row>
    <row r="7" spans="1:14" x14ac:dyDescent="0.3">
      <c r="B7" s="2" t="s">
        <v>187</v>
      </c>
    </row>
    <row r="8" spans="1:14" ht="23.5" x14ac:dyDescent="0.55000000000000004">
      <c r="A8" s="17" t="s">
        <v>163</v>
      </c>
      <c r="M8" s="17" t="s">
        <v>164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169</v>
      </c>
      <c r="D21" s="2" t="s">
        <v>188</v>
      </c>
    </row>
    <row r="22" spans="1:14" ht="14.5" x14ac:dyDescent="0.35">
      <c r="A22" s="13" t="s">
        <v>100</v>
      </c>
      <c r="B22" s="16" t="s">
        <v>101</v>
      </c>
      <c r="C22" s="15" t="s">
        <v>102</v>
      </c>
      <c r="D22" s="2" t="s">
        <v>189</v>
      </c>
      <c r="E22" s="2" t="s">
        <v>190</v>
      </c>
      <c r="F22" s="2" t="s">
        <v>184</v>
      </c>
    </row>
    <row r="23" spans="1:14" ht="14.5" x14ac:dyDescent="0.35">
      <c r="A23" s="7">
        <v>10100</v>
      </c>
      <c r="B23" s="11">
        <v>10102</v>
      </c>
      <c r="C23" s="43">
        <f>VLOOKUP(VLOOKUP(A23, $M$9:$N$18, 2), $A$9:$J$18, MATCH(VLOOKUP(B23, $M$9:$N$18, 2), $A$9:$J$9, 0))</f>
        <v>95</v>
      </c>
      <c r="D23" s="2" t="str">
        <f>VLOOKUP(A23, $M$9:$N$18, 2)</f>
        <v>A</v>
      </c>
      <c r="E23" s="2" t="str">
        <f>VLOOKUP(B23, $M$9:$N$18, 2)</f>
        <v>B</v>
      </c>
      <c r="F23" s="2">
        <f>MATCH(E23, $A$9:$J$9, 0)</f>
        <v>3</v>
      </c>
    </row>
    <row r="24" spans="1:14" ht="14.5" x14ac:dyDescent="0.35">
      <c r="A24" s="7">
        <v>10100</v>
      </c>
      <c r="B24" s="11">
        <v>10104</v>
      </c>
      <c r="C24" s="43">
        <f t="shared" ref="C24:C35" si="0">VLOOKUP(VLOOKUP(A24, $M$9:$N$18, 2), $A$9:$J$18, MATCH(VLOOKUP(B24, $M$9:$N$18, 2), $A$9:$J$9, 0))</f>
        <v>-1</v>
      </c>
      <c r="D24" s="2" t="str">
        <f t="shared" ref="D24:D35" si="1">VLOOKUP(A24, $M$9:$N$18, 2)</f>
        <v>A</v>
      </c>
      <c r="E24" s="2" t="str">
        <f t="shared" ref="E24:E35" si="2">VLOOKUP(B24, $M$9:$N$18, 2)</f>
        <v>C</v>
      </c>
      <c r="F24" s="2">
        <f t="shared" ref="F24:F35" si="3">MATCH(E24, $A$9:$J$9, 0)</f>
        <v>4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  <c r="D25" s="2" t="str">
        <f t="shared" si="1"/>
        <v>E</v>
      </c>
      <c r="E25" s="2" t="str">
        <f t="shared" si="2"/>
        <v>B</v>
      </c>
      <c r="F25" s="2">
        <f t="shared" si="3"/>
        <v>3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  <c r="D26" s="2" t="str">
        <f t="shared" si="1"/>
        <v>A</v>
      </c>
      <c r="E26" s="2" t="str">
        <f t="shared" si="2"/>
        <v>D</v>
      </c>
      <c r="F26" s="2">
        <f t="shared" si="3"/>
        <v>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  <c r="D27" s="2" t="str">
        <f t="shared" si="1"/>
        <v>E</v>
      </c>
      <c r="E27" s="2" t="str">
        <f t="shared" si="2"/>
        <v>F</v>
      </c>
      <c r="F27" s="2">
        <f t="shared" si="3"/>
        <v>7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  <c r="D28" s="2" t="str">
        <f t="shared" si="1"/>
        <v>B</v>
      </c>
      <c r="E28" s="2" t="str">
        <f t="shared" si="2"/>
        <v>C</v>
      </c>
      <c r="F28" s="2">
        <f t="shared" si="3"/>
        <v>4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  <c r="D29" s="2" t="str">
        <f t="shared" si="1"/>
        <v>D</v>
      </c>
      <c r="E29" s="2" t="str">
        <f t="shared" si="2"/>
        <v>E</v>
      </c>
      <c r="F29" s="2">
        <f t="shared" si="3"/>
        <v>6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  <c r="D30" s="2" t="str">
        <f t="shared" si="1"/>
        <v>B</v>
      </c>
      <c r="E30" s="2" t="str">
        <f t="shared" si="2"/>
        <v>D</v>
      </c>
      <c r="F30" s="2">
        <f t="shared" si="3"/>
        <v>5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  <c r="D31" s="2" t="str">
        <f t="shared" si="1"/>
        <v>F</v>
      </c>
      <c r="E31" s="2" t="str">
        <f t="shared" si="2"/>
        <v>H</v>
      </c>
      <c r="F31" s="2">
        <f t="shared" si="3"/>
        <v>9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  <c r="D32" s="2" t="str">
        <f t="shared" si="1"/>
        <v>C</v>
      </c>
      <c r="E32" s="2" t="str">
        <f t="shared" si="2"/>
        <v>D</v>
      </c>
      <c r="F32" s="2">
        <f t="shared" si="3"/>
        <v>5</v>
      </c>
    </row>
    <row r="33" spans="1:6" ht="14.5" x14ac:dyDescent="0.35">
      <c r="A33" s="7">
        <v>10110</v>
      </c>
      <c r="B33" s="11">
        <v>10112</v>
      </c>
      <c r="C33" s="43">
        <f t="shared" si="0"/>
        <v>115</v>
      </c>
      <c r="D33" s="2" t="str">
        <f t="shared" si="1"/>
        <v>F</v>
      </c>
      <c r="E33" s="2" t="str">
        <f t="shared" si="2"/>
        <v>G</v>
      </c>
      <c r="F33" s="2">
        <f t="shared" si="3"/>
        <v>8</v>
      </c>
    </row>
    <row r="34" spans="1:6" ht="14.5" x14ac:dyDescent="0.35">
      <c r="A34" s="7">
        <v>10100</v>
      </c>
      <c r="B34" s="11">
        <v>10114</v>
      </c>
      <c r="C34" s="43">
        <f t="shared" si="0"/>
        <v>480</v>
      </c>
      <c r="D34" s="2" t="str">
        <f t="shared" si="1"/>
        <v>A</v>
      </c>
      <c r="E34" s="2" t="str">
        <f t="shared" si="2"/>
        <v>H</v>
      </c>
      <c r="F34" s="2">
        <f t="shared" si="3"/>
        <v>9</v>
      </c>
    </row>
    <row r="35" spans="1:6" ht="14.5" x14ac:dyDescent="0.35">
      <c r="A35" s="8">
        <v>10112</v>
      </c>
      <c r="B35" s="12">
        <v>10116</v>
      </c>
      <c r="C35" s="43">
        <f>VLOOKUP(VLOOKUP(A35, $M$9:$N$18, 2), $A$9:$J$18, MATCH(VLOOKUP(B35, $M$9:$N$18, 2), $A$9:$J$9, 0))</f>
        <v>105</v>
      </c>
      <c r="D35" s="2" t="str">
        <f t="shared" si="1"/>
        <v>G</v>
      </c>
      <c r="E35" s="2" t="str">
        <f t="shared" si="2"/>
        <v>I</v>
      </c>
      <c r="F35" s="2">
        <f t="shared" si="3"/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Captain Jack Sparrow</cp:lastModifiedBy>
  <dcterms:created xsi:type="dcterms:W3CDTF">2015-02-10T17:33:11Z</dcterms:created>
  <dcterms:modified xsi:type="dcterms:W3CDTF">2023-12-10T10:32:15Z</dcterms:modified>
</cp:coreProperties>
</file>