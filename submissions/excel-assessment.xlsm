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apUp-Data-Assessment-F-main\"/>
    </mc:Choice>
  </mc:AlternateContent>
  <xr:revisionPtr revIDLastSave="0" documentId="13_ncr:1_{CFE2EF83-F8E5-40D2-BD74-1E1CCCB31581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A">Task_5!$B$10:$B$18</definedName>
    <definedName name="B">Task_5!$C$10:$C$18</definedName>
    <definedName name="C_">Task_5!$D$10:$D$18</definedName>
    <definedName name="D">Task_5!$E$10:$E$18</definedName>
    <definedName name="E">Task_5!$F$10:$F$18</definedName>
    <definedName name="F">Task_5!$G$10:$G$18</definedName>
    <definedName name="G">Task_5!$H$10:$H$18</definedName>
    <definedName name="H">Task_5!$I$10:$I$18</definedName>
    <definedName name="I">Task_5!$J$10:$J$18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_A">Task_5!$A$9:$J$18</definedName>
    <definedName name="Table_B">Task_5!$M$9:$N$18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B6" i="18"/>
  <c r="B28" i="18" s="1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<sst xmlns="http://schemas.openxmlformats.org/spreadsheetml/2006/main" count="415" uniqueCount="192">
  <si>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</si>
  <si>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</si>
  <si>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</si>
  <si>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</si>
  <si>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</si>
  <si>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</si>
  <si>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</si>
  <si>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</si>
  <si>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</si>
  <si>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</si>
  <si>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</si>
  <si>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</si>
  <si>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</si>
  <si>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</si>
  <si>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</si>
  <si>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</si>
  <si>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</si>
  <si>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</si>
  <si>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</si>
  <si>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</si>
  <si>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</si>
  <si>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</si>
  <si>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</si>
  <si>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</si>
  <si>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</si>
  <si>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</si>
  <si>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</si>
  <si>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</si>
  <si>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</si>
  <si>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</si>
  <si>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</si>
  <si>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</si>
  <si>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</si>
  <si>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</si>
  <si>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</si>
  <si>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</si>
  <si>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</si>
  <si>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</si>
  <si>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</si>
  <si>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</si>
  <si>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</si>
  <si>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</si>
  <si>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</si>
  <si>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</si>
  <si>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</si>
  <si>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</si>
  <si>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</si>
  <si>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</si>
  <si>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</si>
  <si>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</si>
  <si>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</si>
  <si>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</si>
  <si>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</si>
  <si>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</si>
  <si>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</si>
  <si>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</si>
  <si>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</si>
  <si>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</si>
  <si>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</si>
  <si>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</si>
  <si>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</si>
  <si>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</si>
  <si>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</si>
  <si>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</si>
  <si>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</si>
  <si>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</si>
  <si>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</si>
  <si>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</si>
  <si>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</si>
  <si>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</si>
  <si>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</si>
  <si>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</si>
  <si>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</si>
  <si>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</si>
  <si>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</si>
  <si>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</si>
  <si>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</si>
  <si>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</si>
  <si>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</si>
  <si>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</si>
  <si>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</si>
  <si>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</si>
  <si>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</si>
  <si>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</si>
  <si>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</si>
  <si>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</si>
  <si>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</si>
  <si>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</si>
  <si>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</si>
  <si>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</si>
  <si>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</si>
  <si>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</si>
  <si>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</si>
  <si>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</si>
  <si>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</si>
  <si>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</si>
  <si>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</si>
  <si>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</si>
  <si>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</si>
  <si>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</si>
  <si>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</si>
  <si>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</si>
  <si>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</si>
  <si>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</si>
  <si>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</si>
  <si>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</si>
  <si>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</si>
  <si>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</si>
  <si>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</si>
  <si>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</si>
  <si>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</si>
  <si>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</si>
  <si>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</si>
  <si>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</si>
  <si>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</si>
  <si>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</si>
  <si>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</si>
  <si>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</si>
  <si>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</si>
  <si>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</si>
  <si>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</si>
  <si>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</si>
  <si>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</si>
  <si>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</si>
  <si>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</si>
  <si>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</si>
  <si>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</si>
  <si>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</si>
  <si>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</si>
  <si>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</si>
  <si>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</si>
  <si>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</si>
  <si>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</si>
  <si>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</si>
  <si>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</si>
  <si>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</si>
  <si>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</si>
  <si>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</si>
  <si>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</si>
  <si>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</si>
  <si>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</si>
  <si>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</si>
  <si>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</si>
  <si>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</si>
  <si>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</si>
  <si>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</si>
  <si>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</si>
  <si>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</si>
  <si>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</si>
  <si>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</si>
  <si>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</si>
  <si>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</si>
  <si>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</si>
  <si>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</si>
  <si>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</si>
  <si>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</si>
  <si>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</si>
  <si>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</si>
  <si>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</si>
  <si>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</si>
  <si>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</si>
  <si>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</si>
  <si>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</si>
  <si>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</si>
  <si>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</si>
  <si>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</si>
  <si>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</si>
  <si>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</si>
  <si>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</si>
  <si>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</si>
  <si>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</si>
  <si>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</si>
  <si>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</si>
  <si>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</si>
  <si>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</si>
  <si>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</si>
  <si>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</si>
  <si>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used is (=SUMIFS(H2:H40, H2:H40, "&gt;"&amp;20))</t>
  </si>
  <si>
    <r>
      <rPr>
        <b/>
        <sz val="12"/>
        <color rgb="FF000000"/>
        <rFont val="Calibri"/>
        <family val="2"/>
        <scheme val="minor"/>
      </rPr>
      <t>6</t>
    </r>
    <r>
      <rPr>
        <sz val="12"/>
        <color rgb="FF000000"/>
        <rFont val="Calibri"/>
        <family val="2"/>
        <scheme val="minor"/>
      </rPr>
      <t>.Clicked 'Finish'</t>
    </r>
  </si>
  <si>
    <r>
      <rPr>
        <b/>
        <sz val="12"/>
        <color rgb="FF000000"/>
        <rFont val="Calibri"/>
        <family val="2"/>
        <scheme val="minor"/>
      </rPr>
      <t>1.</t>
    </r>
    <r>
      <rPr>
        <sz val="12"/>
        <color rgb="FF000000"/>
        <rFont val="Calibri"/>
        <family val="2"/>
        <scheme val="minor"/>
      </rPr>
      <t>I have used Excel's built-in functionality,</t>
    </r>
    <r>
      <rPr>
        <b/>
        <i/>
        <sz val="12"/>
        <color rgb="FF000000"/>
        <rFont val="Calibri"/>
        <family val="2"/>
        <scheme val="minor"/>
      </rPr>
      <t>Text to Columns</t>
    </r>
    <r>
      <rPr>
        <sz val="12"/>
        <color rgb="FF000000"/>
        <rFont val="Calibri"/>
        <family val="2"/>
        <scheme val="minor"/>
      </rPr>
      <t>,first I have selected the entire range(under values column of Table_A).</t>
    </r>
  </si>
  <si>
    <r>
      <rPr>
        <b/>
        <sz val="12"/>
        <color rgb="FF000000"/>
        <rFont val="Calibri"/>
        <family val="2"/>
        <scheme val="minor"/>
      </rPr>
      <t>2.</t>
    </r>
    <r>
      <rPr>
        <sz val="12"/>
        <color rgb="FF000000"/>
        <rFont val="Calibri"/>
        <family val="2"/>
        <scheme val="minor"/>
      </rPr>
      <t>Then I clicked on Data tab,selected text to column and choosed</t>
    </r>
    <r>
      <rPr>
        <b/>
        <i/>
        <sz val="12"/>
        <color rgb="FF000000"/>
        <rFont val="Calibri"/>
        <family val="2"/>
        <scheme val="minor"/>
      </rPr>
      <t xml:space="preserve"> "Delimited"</t>
    </r>
    <r>
      <rPr>
        <sz val="12"/>
        <color rgb="FF000000"/>
        <rFont val="Calibri"/>
        <family val="2"/>
        <scheme val="minor"/>
      </rPr>
      <t xml:space="preserve"> and click "Next.</t>
    </r>
  </si>
  <si>
    <r>
      <rPr>
        <b/>
        <sz val="12"/>
        <color rgb="FF000000"/>
        <rFont val="Calibri"/>
        <family val="2"/>
        <scheme val="minor"/>
      </rPr>
      <t>3.</t>
    </r>
    <r>
      <rPr>
        <sz val="12"/>
        <color rgb="FF000000"/>
        <rFont val="Calibri"/>
        <family val="2"/>
        <scheme val="minor"/>
      </rPr>
      <t xml:space="preserve">After than I have checked box beside </t>
    </r>
    <r>
      <rPr>
        <b/>
        <i/>
        <sz val="12"/>
        <color rgb="FF000000"/>
        <rFont val="Calibri"/>
        <family val="2"/>
        <scheme val="minor"/>
      </rPr>
      <t>'other'</t>
    </r>
    <r>
      <rPr>
        <sz val="12"/>
        <color rgb="FF000000"/>
        <rFont val="Calibri"/>
        <family val="2"/>
        <scheme val="minor"/>
      </rPr>
      <t xml:space="preserve"> and typed </t>
    </r>
    <r>
      <rPr>
        <b/>
        <i/>
        <sz val="12"/>
        <color rgb="FF000000"/>
        <rFont val="Calibri"/>
        <family val="2"/>
        <scheme val="minor"/>
      </rPr>
      <t>"-"</t>
    </r>
    <r>
      <rPr>
        <sz val="12"/>
        <color rgb="FF000000"/>
        <rFont val="Calibri"/>
        <family val="2"/>
        <scheme val="minor"/>
      </rPr>
      <t xml:space="preserve"> since the delimiter is a hyphen.</t>
    </r>
  </si>
  <si>
    <r>
      <rPr>
        <b/>
        <sz val="12"/>
        <color rgb="FF000000"/>
        <rFont val="Calibri"/>
        <family val="2"/>
        <scheme val="minor"/>
      </rPr>
      <t>4</t>
    </r>
    <r>
      <rPr>
        <sz val="12"/>
        <color rgb="FF000000"/>
        <rFont val="Calibri"/>
        <family val="2"/>
        <scheme val="minor"/>
      </rPr>
      <t>.Kept the</t>
    </r>
    <r>
      <rPr>
        <b/>
        <i/>
        <sz val="12"/>
        <color rgb="FF000000"/>
        <rFont val="Calibri"/>
        <family val="2"/>
        <scheme val="minor"/>
      </rPr>
      <t xml:space="preserve"> "Column Data Format"</t>
    </r>
    <r>
      <rPr>
        <sz val="12"/>
        <color rgb="FF000000"/>
        <rFont val="Calibri"/>
        <family val="2"/>
        <scheme val="minor"/>
      </rPr>
      <t xml:space="preserve"> step as</t>
    </r>
    <r>
      <rPr>
        <b/>
        <i/>
        <sz val="12"/>
        <color rgb="FF000000"/>
        <rFont val="Calibri"/>
        <family val="2"/>
        <scheme val="minor"/>
      </rPr>
      <t xml:space="preserve"> "General".</t>
    </r>
  </si>
  <si>
    <r>
      <rPr>
        <b/>
        <sz val="12"/>
        <color rgb="FF000000"/>
        <rFont val="Calibri"/>
        <family val="2"/>
        <scheme val="minor"/>
      </rPr>
      <t>5</t>
    </r>
    <r>
      <rPr>
        <sz val="12"/>
        <color rgb="FF000000"/>
        <rFont val="Calibri"/>
        <family val="2"/>
        <scheme val="minor"/>
      </rPr>
      <t xml:space="preserve">.After it is choosen,I have selected the destination where the delimited values will be put,in this case the destination is </t>
    </r>
    <r>
      <rPr>
        <b/>
        <i/>
        <sz val="12"/>
        <color rgb="FF000000"/>
        <rFont val="Calibri"/>
        <family val="2"/>
        <scheme val="minor"/>
      </rPr>
      <t>(B16:F54)</t>
    </r>
  </si>
  <si>
    <r>
      <rPr>
        <b/>
        <sz val="12"/>
        <color rgb="FF000000"/>
        <rFont val="Calibri"/>
        <family val="2"/>
        <scheme val="minor"/>
      </rPr>
      <t>Process:</t>
    </r>
    <r>
      <rPr>
        <b/>
        <i/>
        <sz val="12"/>
        <color rgb="FF000000"/>
        <rFont val="Calibri"/>
        <family val="2"/>
        <scheme val="minor"/>
      </rPr>
      <t xml:space="preserve"> </t>
    </r>
    <r>
      <rPr>
        <b/>
        <i/>
        <sz val="11"/>
        <color rgb="FF000000"/>
        <rFont val="Calibri"/>
        <family val="2"/>
        <scheme val="minor"/>
      </rPr>
      <t>IFERROR(C11:C21, 20)</t>
    </r>
    <r>
      <rPr>
        <sz val="11"/>
        <color rgb="FF000000"/>
        <rFont val="Calibri"/>
        <family val="2"/>
        <scheme val="minor"/>
      </rPr>
      <t>: This part of the formula replaces any errors in the range C11:C21 (including #N/A errors) with the value '20'.</t>
    </r>
  </si>
  <si>
    <r>
      <rPr>
        <b/>
        <i/>
        <sz val="11"/>
        <color rgb="FF000000"/>
        <rFont val="Calibri"/>
        <family val="2"/>
        <scheme val="minor"/>
      </rPr>
      <t>SUM(IFERROR(...))</t>
    </r>
    <r>
      <rPr>
        <sz val="10"/>
        <color rgb="FF000000"/>
        <rFont val="Calibri"/>
        <family val="2"/>
        <scheme val="minor"/>
      </rPr>
      <t xml:space="preserve">: </t>
    </r>
    <r>
      <rPr>
        <sz val="11"/>
        <color rgb="FF000000"/>
        <rFont val="Calibri"/>
        <family val="2"/>
        <scheme val="minor"/>
      </rPr>
      <t>This sums up the resulting values after handling errors.</t>
    </r>
  </si>
  <si>
    <r>
      <rPr>
        <b/>
        <sz val="12"/>
        <color rgb="FF000000"/>
        <rFont val="Calibri"/>
        <family val="2"/>
        <scheme val="minor"/>
      </rPr>
      <t>Formula/Function:</t>
    </r>
    <r>
      <rPr>
        <sz val="11"/>
        <color rgb="FF000000"/>
        <rFont val="Calibri"/>
        <family val="2"/>
        <scheme val="minor"/>
      </rPr>
      <t>The formula used in this Question is = (</t>
    </r>
    <r>
      <rPr>
        <b/>
        <i/>
        <sz val="11"/>
        <color rgb="FF000000"/>
        <rFont val="Calibri"/>
        <family val="2"/>
        <scheme val="minor"/>
      </rPr>
      <t>=SUM(IFERROR(C11:C21, 20))</t>
    </r>
  </si>
  <si>
    <t>(=INDEX($A$9:$J$18,MATCH(VLOOKUP(A23,$M$9:$N$18,2,FALSE),$A$9:$J$9,0),MATCH(VLOOKUP(B23,$M$9:$N$18,2,FALSE),$A$9:$A$18,0))</t>
  </si>
  <si>
    <t>This code is a classic case of Lookup with Index Match:</t>
  </si>
  <si>
    <r>
      <rPr>
        <b/>
        <sz val="10"/>
        <color rgb="FF000000"/>
        <rFont val="Calibri"/>
        <family val="2"/>
        <scheme val="minor"/>
      </rPr>
      <t>1.INDEX Function</t>
    </r>
    <r>
      <rPr>
        <sz val="10"/>
        <color rgb="FF000000"/>
        <rFont val="Calibri"/>
        <family val="2"/>
        <scheme val="minor"/>
      </rPr>
      <t>: This function Retrieves a value from a specified array ($A$9:$J$18) based on row and column indices.</t>
    </r>
  </si>
  <si>
    <r>
      <rPr>
        <b/>
        <sz val="10"/>
        <color rgb="FF000000"/>
        <rFont val="Calibri"/>
        <family val="2"/>
        <scheme val="minor"/>
      </rPr>
      <t>2.MATCH Function</t>
    </r>
    <r>
      <rPr>
        <sz val="10"/>
        <color rgb="FF000000"/>
        <rFont val="Calibri"/>
        <family val="2"/>
        <scheme val="minor"/>
      </rPr>
      <t>:This part locates the position of a value within a range, applied twice in the formula to determine both row and column indices for the INDEX function.</t>
    </r>
  </si>
  <si>
    <r>
      <rPr>
        <b/>
        <sz val="10"/>
        <color rgb="FF000000"/>
        <rFont val="Calibri"/>
        <family val="2"/>
        <scheme val="minor"/>
      </rPr>
      <t>3.VLOOKUP Function:</t>
    </r>
    <r>
      <rPr>
        <sz val="10"/>
        <color rgb="FF000000"/>
        <rFont val="Calibri"/>
        <family val="2"/>
        <scheme val="minor"/>
      </rPr>
      <t xml:space="preserve"> This part finds a value, used in MATCH to determine row and column positions for INDEX in $A$9:$J$18.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</si>
</sst>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4" fillId="6" borderId="0" xfId="0" applyFont="1" applyFill="1"/>
    <xf numFmtId="0" fontId="3" fillId="6" borderId="0" xfId="0" applyFont="1" applyFill="1"/>
    <xf numFmtId="0" fontId="7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18" fillId="6" borderId="0" xfId="0" applyFont="1" applyFill="1"/>
    <xf numFmtId="0" fontId="8" fillId="6" borderId="0" xfId="0" applyFont="1" applyFill="1"/>
    <xf numFmtId="0" fontId="18" fillId="7" borderId="0" xfId="0" applyFont="1" applyFill="1"/>
    <xf numFmtId="0" fontId="3" fillId="7" borderId="0" xfId="0" applyFont="1" applyFill="1"/>
    <xf numFmtId="0" fontId="8" fillId="7" borderId="0" xfId="0" applyFont="1" applyFill="1"/>
    <xf numFmtId="0" fontId="8" fillId="0" borderId="8" xfId="0" applyFont="1" applyBorder="1"/>
    <xf numFmtId="0" fontId="22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1F013046-4B28-4BCB-964B-2F2B38665F21}"/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F6" sqref="F6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H8" sqref="H8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ht="14.25" customHeight="1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25">
      <c r="H42" s="44">
        <f>SUMIFS(H2:H40, H2:H40, "&gt;"&amp;20)</f>
        <v>1473.0000000000002</v>
      </c>
    </row>
  </sheetData>
  <conditionalFormatting sqref="A1:A1048576">
    <cfRule type="duplicateValues" dxfId="2" priority="5"/>
  </conditionalFormatting>
  <conditionalFormatting sqref="B1:B1048576">
    <cfRule type="duplicateValues" dxfId="1" priority="4"/>
  </conditionalFormatting>
  <conditionalFormatting sqref="A1:C40 E1:X40">
    <cfRule type="expression" dxfId="0" priority="1">
      <formula>AND(ISNUMBER(A1), TEXT(A1, "0")="0")</formula>
    </cfRule>
    <cfRule type="expression" priority="2">
      <formula>AND(ISNUMBER(A1), TEXT(A1, "0")="0")</formula>
    </cfRule>
    <cfRule type="expression" priority="3">
      <formula>AND(ISNUMBER(A1), A1=0, LEN(A1&amp;"")&gt;0, NOT(ISNUMBER(SEARCH(":", A1&amp;""))))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3" sqref="B13"/>
    </sheetView>
  </sheetViews>
  <sheetFormatPr defaultColWidth="11" defaultRowHeight="15" x14ac:dyDescent="0.25"/>
  <cols>
    <col min="1" max="1" width="8.33203125" style="1" bestFit="1" customWidth="1"/>
    <col min="2" max="2" width="71.1640625" style="1" customWidth="1"/>
    <col min="3" max="3" width="49.5" style="1" customWidth="1"/>
    <col min="4" max="4" width="11" style="1"/>
    <col min="5" max="5" width="17.6640625" style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2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0" sqref="H2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2">
        <f>IFERROR(VLOOKUP(A6, Dataset!A:G, 7, FALSE), "")</f>
        <v>2.7</v>
      </c>
      <c r="C6" s="12">
        <f>IFERROR(VLOOKUP(A6, Dataset!A:N, 14, FALSE), "")</f>
        <v>7.6</v>
      </c>
      <c r="D6" s="12">
        <f>IFERROR(VLOOKUP(A6, Dataset!A:R, 18, FALSE), "")</f>
        <v>4.2</v>
      </c>
      <c r="E6" s="12">
        <f>IFERROR(VLOOKUP(A6, Dataset!A:T, 20, FALSE), "")</f>
        <v>8.9</v>
      </c>
      <c r="F6" s="8">
        <f>IFERROR(VLOOKUP(A6, Dataset!A:V, 22, FALSE), "")</f>
        <v>4.2</v>
      </c>
    </row>
    <row r="7" spans="1:7" ht="15" x14ac:dyDescent="0.25">
      <c r="A7" s="7" t="s">
        <v>4</v>
      </c>
      <c r="B7" s="12">
        <f>IFERROR(VLOOKUP(A7, Dataset!A:G, 7, FALSE), "")</f>
        <v>2.7</v>
      </c>
      <c r="C7" s="12">
        <f>IFERROR(VLOOKUP(A7, Dataset!A:N, 14, FALSE), "")</f>
        <v>7.6</v>
      </c>
      <c r="D7" s="12">
        <f>IFERROR(VLOOKUP(A7, Dataset!A:R, 18, FALSE), "")</f>
        <v>4.2</v>
      </c>
      <c r="E7" s="12">
        <f>IFERROR(VLOOKUP(A7, Dataset!A:T, 20, FALSE), "")</f>
        <v>8.9</v>
      </c>
      <c r="F7" s="8">
        <f>IFERROR(VLOOKUP(A7, Dataset!A:V, 22, FALSE), "")</f>
        <v>4.2</v>
      </c>
    </row>
    <row r="8" spans="1:7" ht="15" x14ac:dyDescent="0.25">
      <c r="A8" s="7" t="s">
        <v>7</v>
      </c>
      <c r="B8" s="12">
        <f>IFERROR(VLOOKUP(A8, Dataset!A:G, 7, FALSE), "")</f>
        <v>3.6</v>
      </c>
      <c r="C8" s="12">
        <f>IFERROR(VLOOKUP(A8, Dataset!A:N, 14, FALSE), "")</f>
        <v>11.1</v>
      </c>
      <c r="D8" s="12">
        <f>IFERROR(VLOOKUP(A8, Dataset!A:R, 18, FALSE), "")</f>
        <v>5.8</v>
      </c>
      <c r="E8" s="12">
        <f>IFERROR(VLOOKUP(A8, Dataset!A:T, 20, FALSE), "")</f>
        <v>12.2</v>
      </c>
      <c r="F8" s="8">
        <f>IFERROR(VLOOKUP(A8, Dataset!A:V, 22, FALSE), "")</f>
        <v>5.8</v>
      </c>
    </row>
    <row r="9" spans="1:7" ht="15" x14ac:dyDescent="0.25">
      <c r="A9" s="7" t="s">
        <v>8</v>
      </c>
      <c r="B9" s="12">
        <f>IFERROR(VLOOKUP(A9, Dataset!A:G, 7, FALSE), "")</f>
        <v>4.9000000000000004</v>
      </c>
      <c r="C9" s="12">
        <f>IFERROR(VLOOKUP(A9, Dataset!A:N, 14, FALSE), "")</f>
        <v>13.3</v>
      </c>
      <c r="D9" s="12">
        <f>IFERROR(VLOOKUP(A9, Dataset!A:R, 18, FALSE), "")</f>
        <v>8.1</v>
      </c>
      <c r="E9" s="12">
        <f>IFERROR(VLOOKUP(A9, Dataset!A:T, 20, FALSE), "")</f>
        <v>17</v>
      </c>
      <c r="F9" s="8">
        <f>IFERROR(VLOOKUP(A9, Dataset!A:V, 22, FALSE), "")</f>
        <v>8.1</v>
      </c>
    </row>
    <row r="10" spans="1:7" ht="15" x14ac:dyDescent="0.25">
      <c r="A10" s="7" t="s">
        <v>11</v>
      </c>
      <c r="B10" s="12">
        <f>IFERROR(VLOOKUP(A10, Dataset!A:G, 7, FALSE), "")</f>
        <v>9.4</v>
      </c>
      <c r="C10" s="12">
        <f>IFERROR(VLOOKUP(A10, Dataset!A:N, 14, FALSE), "")</f>
        <v>28.3</v>
      </c>
      <c r="D10" s="12">
        <f>IFERROR(VLOOKUP(A10, Dataset!A:R, 18, FALSE), "")</f>
        <v>16.100000000000001</v>
      </c>
      <c r="E10" s="12">
        <f>IFERROR(VLOOKUP(A10, Dataset!A:T, 20, FALSE), "")</f>
        <v>32.799999999999997</v>
      </c>
      <c r="F10" s="8">
        <f>IFERROR(VLOOKUP(A10, Dataset!A:V, 22, FALSE), "")</f>
        <v>16.100000000000001</v>
      </c>
    </row>
    <row r="11" spans="1:7" ht="15" x14ac:dyDescent="0.25">
      <c r="A11" s="7" t="s">
        <v>12</v>
      </c>
      <c r="B11" s="12">
        <f>IFERROR(VLOOKUP(A11, Dataset!A:G, 7, FALSE), "")</f>
        <v>11.6</v>
      </c>
      <c r="C11" s="12">
        <f>IFERROR(VLOOKUP(A11, Dataset!A:N, 14, FALSE), "")</f>
        <v>35.200000000000003</v>
      </c>
      <c r="D11" s="12">
        <f>IFERROR(VLOOKUP(A11, Dataset!A:R, 18, FALSE), "")</f>
        <v>21.3</v>
      </c>
      <c r="E11" s="12">
        <f>IFERROR(VLOOKUP(A11, Dataset!A:T, 20, FALSE), "")</f>
        <v>43</v>
      </c>
      <c r="F11" s="8">
        <f>IFERROR(VLOOKUP(A11, Dataset!A:V, 22, FALSE), "")</f>
        <v>21.3</v>
      </c>
    </row>
    <row r="12" spans="1:7" ht="15" x14ac:dyDescent="0.25">
      <c r="A12" s="7" t="s">
        <v>14</v>
      </c>
      <c r="B12" s="12">
        <f>IFERROR(VLOOKUP(A12, Dataset!A:G, 7, FALSE), "")</f>
        <v>18.399999999999999</v>
      </c>
      <c r="C12" s="12">
        <f>IFERROR(VLOOKUP(A12, Dataset!A:N, 14, FALSE), "")</f>
        <v>55.6</v>
      </c>
      <c r="D12" s="12">
        <f>IFERROR(VLOOKUP(A12, Dataset!A:R, 18, FALSE), "")</f>
        <v>33.799999999999997</v>
      </c>
      <c r="E12" s="12">
        <f>IFERROR(VLOOKUP(A12, Dataset!A:T, 20, FALSE), "")</f>
        <v>67.900000000000006</v>
      </c>
      <c r="F12" s="8">
        <f>IFERROR(VLOOKUP(A12, Dataset!A:V, 22, FALSE), "")</f>
        <v>33.799999999999997</v>
      </c>
    </row>
    <row r="13" spans="1:7" ht="15" x14ac:dyDescent="0.25">
      <c r="A13" s="7" t="s">
        <v>15</v>
      </c>
      <c r="B13" s="12">
        <f>IFERROR(VLOOKUP(A13, Dataset!A:G, 7, FALSE), "")</f>
        <v>0</v>
      </c>
      <c r="C13" s="12">
        <f>IFERROR(VLOOKUP(A13, Dataset!A:N, 14, FALSE), "")</f>
        <v>0</v>
      </c>
      <c r="D13" s="12">
        <f>IFERROR(VLOOKUP(A13, Dataset!A:R, 18, FALSE), "")</f>
        <v>0</v>
      </c>
      <c r="E13" s="12">
        <f>IFERROR(VLOOKUP(A13, Dataset!A:T, 20, FALSE), "")</f>
        <v>0</v>
      </c>
      <c r="F13" s="8">
        <f>IFERROR(VLOOKUP(A13, Dataset!A:V, 22, FALSE), "")</f>
        <v>0</v>
      </c>
    </row>
    <row r="14" spans="1:7" ht="15" x14ac:dyDescent="0.25">
      <c r="A14" s="7" t="s">
        <v>16</v>
      </c>
      <c r="B14" s="12">
        <f>IFERROR(VLOOKUP(A14, Dataset!A:G, 7, FALSE), "")</f>
        <v>21.9</v>
      </c>
      <c r="C14" s="12">
        <f>IFERROR(VLOOKUP(A14, Dataset!A:N, 14, FALSE), "")</f>
        <v>61.5</v>
      </c>
      <c r="D14" s="12">
        <f>IFERROR(VLOOKUP(A14, Dataset!A:R, 18, FALSE), "")</f>
        <v>40.1</v>
      </c>
      <c r="E14" s="12">
        <f>IFERROR(VLOOKUP(A14, Dataset!A:T, 20, FALSE), "")</f>
        <v>76.599999999999994</v>
      </c>
      <c r="F14" s="8">
        <f>IFERROR(VLOOKUP(A14, Dataset!A:V, 22, FALSE), "")</f>
        <v>40.1</v>
      </c>
    </row>
    <row r="15" spans="1:7" ht="15" x14ac:dyDescent="0.25">
      <c r="A15" s="7" t="s">
        <v>18</v>
      </c>
      <c r="B15" s="12">
        <f>IFERROR(VLOOKUP(A15, Dataset!A:G, 7, FALSE), "")</f>
        <v>26.8</v>
      </c>
      <c r="C15" s="12">
        <f>IFERROR(VLOOKUP(A15, Dataset!A:N, 14, FALSE), "")</f>
        <v>79.599999999999994</v>
      </c>
      <c r="D15" s="12">
        <f>IFERROR(VLOOKUP(A15, Dataset!A:R, 18, FALSE), "")</f>
        <v>47.9</v>
      </c>
      <c r="E15" s="12">
        <f>IFERROR(VLOOKUP(A15, Dataset!A:T, 20, FALSE), "")</f>
        <v>96.8</v>
      </c>
      <c r="F15" s="8">
        <f>IFERROR(VLOOKUP(A15, Dataset!A:V, 22, FALSE), "")</f>
        <v>47.9</v>
      </c>
    </row>
    <row r="16" spans="1:7" ht="15" x14ac:dyDescent="0.25">
      <c r="A16" s="7" t="s">
        <v>20</v>
      </c>
      <c r="B16" s="12">
        <f>IFERROR(VLOOKUP(A16, Dataset!A:G, 7, FALSE), "")</f>
        <v>28.5</v>
      </c>
      <c r="C16" s="12">
        <f>IFERROR(VLOOKUP(A16, Dataset!A:N, 14, FALSE), "")</f>
        <v>85.4</v>
      </c>
      <c r="D16" s="12">
        <f>IFERROR(VLOOKUP(A16, Dataset!A:R, 18, FALSE), "")</f>
        <v>52.3</v>
      </c>
      <c r="E16" s="12">
        <f>IFERROR(VLOOKUP(A16, Dataset!A:T, 20, FALSE), "")</f>
        <v>106.1</v>
      </c>
      <c r="F16" s="8">
        <f>IFERROR(VLOOKUP(A16, Dataset!A:V, 22, FALSE), "")</f>
        <v>52.3</v>
      </c>
    </row>
    <row r="17" spans="1:6" ht="15" x14ac:dyDescent="0.25">
      <c r="A17" s="7" t="s">
        <v>22</v>
      </c>
      <c r="B17" s="12">
        <f>IFERROR(VLOOKUP(A17, Dataset!A:G, 7, FALSE), "")</f>
        <v>30.7</v>
      </c>
      <c r="C17" s="12">
        <f>IFERROR(VLOOKUP(A17, Dataset!A:N, 14, FALSE), "")</f>
        <v>92.1</v>
      </c>
      <c r="D17" s="12">
        <f>IFERROR(VLOOKUP(A17, Dataset!A:R, 18, FALSE), "")</f>
        <v>57</v>
      </c>
      <c r="E17" s="12">
        <f>IFERROR(VLOOKUP(A17, Dataset!A:T, 20, FALSE), "")</f>
        <v>115.1</v>
      </c>
      <c r="F17" s="8">
        <f>IFERROR(VLOOKUP(A17, Dataset!A:V, 22, FALSE), "")</f>
        <v>57</v>
      </c>
    </row>
    <row r="18" spans="1:6" ht="15" x14ac:dyDescent="0.25">
      <c r="A18" s="7" t="s">
        <v>23</v>
      </c>
      <c r="B18" s="12">
        <f>IFERROR(VLOOKUP(A18, Dataset!A:G, 7, FALSE), "")</f>
        <v>33.799999999999997</v>
      </c>
      <c r="C18" s="12">
        <f>IFERROR(VLOOKUP(A18, Dataset!A:N, 14, FALSE), "")</f>
        <v>101.3</v>
      </c>
      <c r="D18" s="12">
        <f>IFERROR(VLOOKUP(A18, Dataset!A:R, 18, FALSE), "")</f>
        <v>61.4</v>
      </c>
      <c r="E18" s="12">
        <f>IFERROR(VLOOKUP(A18, Dataset!A:T, 20, FALSE), "")</f>
        <v>124.4</v>
      </c>
      <c r="F18" s="8">
        <f>IFERROR(VLOOKUP(A18, Dataset!A:V, 22, FALSE), "")</f>
        <v>61.4</v>
      </c>
    </row>
    <row r="19" spans="1:6" ht="15" x14ac:dyDescent="0.25">
      <c r="A19" s="7" t="s">
        <v>24</v>
      </c>
      <c r="B19" s="12">
        <f>IFERROR(VLOOKUP(A19, Dataset!A:G, 7, FALSE), "")</f>
        <v>34.700000000000003</v>
      </c>
      <c r="C19" s="12">
        <f>IFERROR(VLOOKUP(A19, Dataset!A:N, 14, FALSE), "")</f>
        <v>106.1</v>
      </c>
      <c r="D19" s="12">
        <f>IFERROR(VLOOKUP(A19, Dataset!A:R, 18, FALSE), "")</f>
        <v>63.6</v>
      </c>
      <c r="E19" s="12">
        <f>IFERROR(VLOOKUP(A19, Dataset!A:T, 20, FALSE), "")</f>
        <v>128.6</v>
      </c>
      <c r="F19" s="8">
        <f>IFERROR(VLOOKUP(A19, Dataset!A:V, 22, FALSE), "")</f>
        <v>63.6</v>
      </c>
    </row>
    <row r="20" spans="1:6" ht="15" x14ac:dyDescent="0.25">
      <c r="A20" s="7" t="s">
        <v>28</v>
      </c>
      <c r="B20" s="12">
        <f>IFERROR(VLOOKUP(A20, Dataset!A:G, 7, FALSE), "")</f>
        <v>0</v>
      </c>
      <c r="C20" s="12">
        <f>IFERROR(VLOOKUP(A20, Dataset!A:N, 14, FALSE), "")</f>
        <v>0</v>
      </c>
      <c r="D20" s="12">
        <f>IFERROR(VLOOKUP(A20, Dataset!A:R, 18, FALSE), "")</f>
        <v>0</v>
      </c>
      <c r="E20" s="12">
        <f>IFERROR(VLOOKUP(A20, Dataset!A:T, 20, FALSE), "")</f>
        <v>0</v>
      </c>
      <c r="F20" s="8">
        <f>IFERROR(VLOOKUP(A20, Dataset!A:V, 22, FALSE), "")</f>
        <v>0</v>
      </c>
    </row>
    <row r="21" spans="1:6" ht="15" x14ac:dyDescent="0.25">
      <c r="A21" s="7" t="s">
        <v>57</v>
      </c>
      <c r="B21" s="12">
        <f>IFERROR(VLOOKUP(A21, Dataset!A:G, 7, FALSE), "")</f>
        <v>41.3</v>
      </c>
      <c r="C21" s="12">
        <f>IFERROR(VLOOKUP(A21, Dataset!A:N, 14, FALSE), "")</f>
        <v>124.4</v>
      </c>
      <c r="D21" s="12">
        <f>IFERROR(VLOOKUP(A21, Dataset!A:R, 18, FALSE), "")</f>
        <v>75</v>
      </c>
      <c r="E21" s="12">
        <f>IFERROR(VLOOKUP(A21, Dataset!A:T, 20, FALSE), "")</f>
        <v>151.5</v>
      </c>
      <c r="F21" s="8">
        <f>IFERROR(VLOOKUP(A21, Dataset!A:V, 22, FALSE), "")</f>
        <v>75</v>
      </c>
    </row>
    <row r="22" spans="1:6" ht="15" x14ac:dyDescent="0.25">
      <c r="A22" s="7" t="s">
        <v>58</v>
      </c>
      <c r="B22" s="12">
        <f>IFERROR(VLOOKUP(A22, Dataset!A:G, 7, FALSE), "")</f>
        <v>-1</v>
      </c>
      <c r="C22" s="12">
        <f>IFERROR(VLOOKUP(A22, Dataset!A:N, 14, FALSE), "")</f>
        <v>-1</v>
      </c>
      <c r="D22" s="12">
        <f>IFERROR(VLOOKUP(A22, Dataset!A:R, 18, FALSE), "")</f>
        <v>-1</v>
      </c>
      <c r="E22" s="12">
        <f>IFERROR(VLOOKUP(A22, Dataset!A:T, 20, FALSE), "")</f>
        <v>-1</v>
      </c>
      <c r="F22" s="8">
        <f>IFERROR(VLOOKUP(A22, Dataset!A:V, 22, FALSE), "")</f>
        <v>-1</v>
      </c>
    </row>
    <row r="23" spans="1:6" ht="15" x14ac:dyDescent="0.25">
      <c r="A23" s="7" t="s">
        <v>31</v>
      </c>
      <c r="B23" s="12">
        <f>IFERROR(VLOOKUP(A23, Dataset!A:G, 7, FALSE), "")</f>
        <v>45</v>
      </c>
      <c r="C23" s="12">
        <f>IFERROR(VLOOKUP(A23, Dataset!A:N, 14, FALSE), "")</f>
        <v>133.4</v>
      </c>
      <c r="D23" s="12">
        <f>IFERROR(VLOOKUP(A23, Dataset!A:R, 18, FALSE), "")</f>
        <v>79.400000000000006</v>
      </c>
      <c r="E23" s="12">
        <f>IFERROR(VLOOKUP(A23, Dataset!A:T, 20, FALSE), "")</f>
        <v>160.9</v>
      </c>
      <c r="F23" s="8">
        <f>IFERROR(VLOOKUP(A23, Dataset!A:V, 22, FALSE), "")</f>
        <v>79.400000000000006</v>
      </c>
    </row>
    <row r="24" spans="1:6" ht="15" x14ac:dyDescent="0.25">
      <c r="A24" s="7" t="s">
        <v>32</v>
      </c>
      <c r="B24" s="12">
        <f>IFERROR(VLOOKUP(A24, Dataset!A:G, 7, FALSE), "")</f>
        <v>-1</v>
      </c>
      <c r="C24" s="12">
        <f>IFERROR(VLOOKUP(A24, Dataset!A:N, 14, FALSE), "")</f>
        <v>-1</v>
      </c>
      <c r="D24" s="12">
        <f>IFERROR(VLOOKUP(A24, Dataset!A:R, 18, FALSE), "")</f>
        <v>-1</v>
      </c>
      <c r="E24" s="12">
        <f>IFERROR(VLOOKUP(A24, Dataset!A:T, 20, FALSE), "")</f>
        <v>-1</v>
      </c>
      <c r="F24" s="8">
        <f>IFERROR(VLOOKUP(A24, Dataset!A:V, 22, FALSE), "")</f>
        <v>-1</v>
      </c>
    </row>
    <row r="25" spans="1:6" ht="15" x14ac:dyDescent="0.25">
      <c r="A25" s="7" t="s">
        <v>34</v>
      </c>
      <c r="B25" s="12">
        <f>IFERROR(VLOOKUP(A25, Dataset!A:G, 7, FALSE), "")</f>
        <v>43.3</v>
      </c>
      <c r="C25" s="12">
        <f>IFERROR(VLOOKUP(A25, Dataset!A:N, 14, FALSE), "")</f>
        <v>128.6</v>
      </c>
      <c r="D25" s="12">
        <f>IFERROR(VLOOKUP(A25, Dataset!A:R, 18, FALSE), "")</f>
        <v>79.400000000000006</v>
      </c>
      <c r="E25" s="12">
        <f>IFERROR(VLOOKUP(A25, Dataset!A:T, 20, FALSE), "")</f>
        <v>160.9</v>
      </c>
      <c r="F25" s="8">
        <f>IFERROR(VLOOKUP(A25, Dataset!A:V, 22, FALSE), "")</f>
        <v>79.400000000000006</v>
      </c>
    </row>
    <row r="26" spans="1:6" ht="15" x14ac:dyDescent="0.25">
      <c r="A26" s="7" t="s">
        <v>37</v>
      </c>
      <c r="B26" s="12">
        <f>IFERROR(VLOOKUP(A26, Dataset!A:G, 7, FALSE), "")</f>
        <v>49.1</v>
      </c>
      <c r="C26" s="12">
        <f>IFERROR(VLOOKUP(A26, Dataset!A:N, 14, FALSE), "")</f>
        <v>146.80000000000001</v>
      </c>
      <c r="D26" s="12">
        <f>IFERROR(VLOOKUP(A26, Dataset!A:R, 18, FALSE), "")</f>
        <v>90.9</v>
      </c>
      <c r="E26" s="12">
        <f>IFERROR(VLOOKUP(A26, Dataset!A:T, 20, FALSE), "")</f>
        <v>183.5</v>
      </c>
      <c r="F26" s="8">
        <f>IFERROR(VLOOKUP(A26, Dataset!A:V, 22, FALSE), "")</f>
        <v>90.9</v>
      </c>
    </row>
    <row r="27" spans="1:6" ht="15" x14ac:dyDescent="0.25">
      <c r="A27" s="7" t="s">
        <v>39</v>
      </c>
      <c r="B27" s="12">
        <f>IFERROR(VLOOKUP(A27, Dataset!A:G, 7, FALSE), "")</f>
        <v>51.8</v>
      </c>
      <c r="C27" s="12">
        <f>IFERROR(VLOOKUP(A27, Dataset!A:N, 14, FALSE), "")</f>
        <v>156.4</v>
      </c>
      <c r="D27" s="12">
        <f>IFERROR(VLOOKUP(A27, Dataset!A:R, 18, FALSE), "")</f>
        <v>93.1</v>
      </c>
      <c r="E27" s="12">
        <f>IFERROR(VLOOKUP(A27, Dataset!A:T, 20, FALSE), "")</f>
        <v>188.1</v>
      </c>
      <c r="F27" s="8">
        <f>IFERROR(VLOOKUP(A27, Dataset!A:V, 22, FALSE), "")</f>
        <v>93.1</v>
      </c>
    </row>
    <row r="28" spans="1:6" ht="15" x14ac:dyDescent="0.25">
      <c r="A28" s="18" t="s">
        <v>82</v>
      </c>
      <c r="B28" s="30">
        <f>MAX(B6:B27)</f>
        <v>51.8</v>
      </c>
      <c r="C28" s="30">
        <f t="shared" ref="C28:F28" si="0">MAX(C6:C27)</f>
        <v>156.4</v>
      </c>
      <c r="D28" s="30">
        <f t="shared" si="0"/>
        <v>93.1</v>
      </c>
      <c r="E28" s="30">
        <f t="shared" si="0"/>
        <v>188.1</v>
      </c>
      <c r="F28" s="30">
        <f t="shared" si="0"/>
        <v>93.1</v>
      </c>
    </row>
    <row r="29" spans="1:6" ht="15" x14ac:dyDescent="0.25">
      <c r="A29" s="18" t="s">
        <v>83</v>
      </c>
      <c r="B29" s="30">
        <f>MIN(B6:B27)</f>
        <v>-1</v>
      </c>
      <c r="C29" s="30">
        <f t="shared" ref="C29:F29" si="1">MIN(C6:C27)</f>
        <v>-1</v>
      </c>
      <c r="D29" s="30">
        <f t="shared" si="1"/>
        <v>-1</v>
      </c>
      <c r="E29" s="30">
        <f t="shared" si="1"/>
        <v>-1</v>
      </c>
      <c r="F29" s="30">
        <f t="shared" si="1"/>
        <v>-1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P57"/>
  <sheetViews>
    <sheetView zoomScaleNormal="100" workbookViewId="0">
      <selection activeCell="I20" sqref="I20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6" s="39" customFormat="1" ht="21" x14ac:dyDescent="0.35">
      <c r="A1" s="40" t="s">
        <v>56</v>
      </c>
      <c r="B1" s="39" t="s">
        <v>174</v>
      </c>
    </row>
    <row r="2" spans="1:16" customFormat="1" ht="12.75" x14ac:dyDescent="0.2"/>
    <row r="3" spans="1:16" s="2" customFormat="1" x14ac:dyDescent="0.25">
      <c r="B3" s="1"/>
    </row>
    <row r="4" spans="1:16" s="2" customFormat="1" x14ac:dyDescent="0.25">
      <c r="B4" s="1" t="s">
        <v>151</v>
      </c>
    </row>
    <row r="5" spans="1:16" ht="18.75" x14ac:dyDescent="0.3">
      <c r="A5" s="41" t="s">
        <v>53</v>
      </c>
      <c r="B5" s="48" t="s">
        <v>179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7"/>
      <c r="P5" s="47"/>
    </row>
    <row r="6" spans="1:16" ht="18.75" x14ac:dyDescent="0.3">
      <c r="A6" s="41" t="s">
        <v>153</v>
      </c>
      <c r="B6" s="48" t="s">
        <v>180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7"/>
      <c r="P6" s="47"/>
    </row>
    <row r="7" spans="1:16" ht="18.75" x14ac:dyDescent="0.3">
      <c r="A7" s="41"/>
      <c r="B7" s="48" t="s">
        <v>181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7"/>
      <c r="P7" s="47"/>
    </row>
    <row r="8" spans="1:16" ht="18.75" x14ac:dyDescent="0.3">
      <c r="A8" s="41"/>
      <c r="B8" s="48" t="s">
        <v>182</v>
      </c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7"/>
      <c r="P8" s="47"/>
    </row>
    <row r="9" spans="1:16" ht="15.75" x14ac:dyDescent="0.25">
      <c r="B9" s="48" t="s">
        <v>183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7"/>
      <c r="P9" s="47"/>
    </row>
    <row r="10" spans="1:16" ht="15.75" x14ac:dyDescent="0.25">
      <c r="B10" s="48" t="s">
        <v>178</v>
      </c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7"/>
      <c r="P10" s="47"/>
    </row>
    <row r="11" spans="1:16" ht="15.75" x14ac:dyDescent="0.25"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47"/>
      <c r="P11" s="47"/>
    </row>
    <row r="12" spans="1:16" ht="23.25" x14ac:dyDescent="0.35">
      <c r="A12" s="17" t="s">
        <v>165</v>
      </c>
      <c r="B12" s="51"/>
      <c r="C12" s="51"/>
      <c r="D12" s="51"/>
      <c r="E12" s="51"/>
      <c r="F12" s="51"/>
      <c r="G12" s="51"/>
      <c r="H12" s="51"/>
      <c r="I12" s="52"/>
      <c r="J12" s="52"/>
      <c r="K12" s="51"/>
      <c r="L12" s="51"/>
      <c r="M12" s="51"/>
      <c r="N12" s="51"/>
    </row>
    <row r="13" spans="1:16" x14ac:dyDescent="0.25">
      <c r="A13" s="32" t="s">
        <v>102</v>
      </c>
      <c r="B13" s="16" t="s">
        <v>49</v>
      </c>
      <c r="C13" s="16" t="s">
        <v>50</v>
      </c>
      <c r="D13" s="16" t="s">
        <v>51</v>
      </c>
      <c r="E13" s="16" t="s">
        <v>52</v>
      </c>
      <c r="F13" s="16" t="s">
        <v>54</v>
      </c>
      <c r="I13" s="2"/>
      <c r="J13" s="2"/>
    </row>
    <row r="14" spans="1:16" x14ac:dyDescent="0.25">
      <c r="A14" s="9" t="s">
        <v>121</v>
      </c>
      <c r="B14" s="13">
        <v>20000</v>
      </c>
      <c r="C14" s="13" t="s">
        <v>5</v>
      </c>
      <c r="D14" s="13">
        <v>0</v>
      </c>
      <c r="E14" s="11" t="s">
        <v>6</v>
      </c>
      <c r="F14" s="11">
        <v>24</v>
      </c>
      <c r="I14" s="2"/>
      <c r="J14" s="2"/>
    </row>
    <row r="17" spans="1:6" ht="23.25" x14ac:dyDescent="0.35">
      <c r="A17" s="17" t="s">
        <v>162</v>
      </c>
    </row>
    <row r="18" spans="1:6" x14ac:dyDescent="0.25">
      <c r="A18" s="14" t="s">
        <v>103</v>
      </c>
      <c r="B18" s="16" t="s">
        <v>49</v>
      </c>
      <c r="C18" s="15" t="s">
        <v>50</v>
      </c>
      <c r="D18" s="16" t="s">
        <v>51</v>
      </c>
      <c r="E18" s="15" t="s">
        <v>52</v>
      </c>
      <c r="F18" s="16" t="s">
        <v>54</v>
      </c>
    </row>
    <row r="19" spans="1:6" x14ac:dyDescent="0.25">
      <c r="A19" s="7" t="s">
        <v>121</v>
      </c>
      <c r="B19" s="12">
        <v>20000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122</v>
      </c>
      <c r="B20" s="12">
        <v>20002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123</v>
      </c>
      <c r="B21" s="12">
        <v>20004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124</v>
      </c>
      <c r="B22" s="12">
        <v>20006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125</v>
      </c>
      <c r="B23" s="12">
        <v>20008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126</v>
      </c>
      <c r="B24" s="12">
        <v>20010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127</v>
      </c>
      <c r="B25" s="12">
        <v>20012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128</v>
      </c>
      <c r="B26" s="12">
        <v>20014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129</v>
      </c>
      <c r="B27" s="12">
        <v>20016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130</v>
      </c>
      <c r="B28" s="12">
        <v>20018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131</v>
      </c>
      <c r="B29" s="12">
        <v>20020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132</v>
      </c>
      <c r="B30" s="12">
        <v>20022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133</v>
      </c>
      <c r="B31" s="12">
        <v>20024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134</v>
      </c>
      <c r="B32" s="12">
        <v>20026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135</v>
      </c>
      <c r="B33" s="12">
        <v>20028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136</v>
      </c>
      <c r="B34" s="12">
        <v>20030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137</v>
      </c>
      <c r="B35" s="12">
        <v>20032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138</v>
      </c>
      <c r="B36" s="12">
        <v>20034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139</v>
      </c>
      <c r="B37" s="12">
        <v>20036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140</v>
      </c>
      <c r="B38" s="12">
        <v>20038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141</v>
      </c>
      <c r="B39" s="12">
        <v>20040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142</v>
      </c>
      <c r="B40" s="12">
        <v>20042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143</v>
      </c>
      <c r="B41" s="12">
        <v>20044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144</v>
      </c>
      <c r="B42" s="12">
        <v>20046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145</v>
      </c>
      <c r="B43" s="12">
        <v>20048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146</v>
      </c>
      <c r="B44" s="12">
        <v>20050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147</v>
      </c>
      <c r="B45" s="12">
        <v>20052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148</v>
      </c>
      <c r="B46" s="12">
        <v>20054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149</v>
      </c>
      <c r="B47" s="12">
        <v>20058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150</v>
      </c>
      <c r="B48" s="12">
        <v>20060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112</v>
      </c>
      <c r="B49" s="12">
        <v>21000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113</v>
      </c>
      <c r="B50" s="12">
        <v>21002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114</v>
      </c>
      <c r="B51" s="12">
        <v>21004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115</v>
      </c>
      <c r="B52" s="12">
        <v>21006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116</v>
      </c>
      <c r="B53" s="12">
        <v>21008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7" t="s">
        <v>117</v>
      </c>
      <c r="B54" s="12">
        <v>21010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25">
      <c r="A55" s="7" t="s">
        <v>118</v>
      </c>
      <c r="B55" s="12">
        <v>21012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25">
      <c r="A56" s="7" t="s">
        <v>119</v>
      </c>
      <c r="B56" s="12">
        <v>21014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25">
      <c r="A57" s="9" t="s">
        <v>120</v>
      </c>
      <c r="B57" s="13">
        <v>21016</v>
      </c>
      <c r="C57" s="10" t="s">
        <v>5</v>
      </c>
      <c r="D57" s="13">
        <v>0</v>
      </c>
      <c r="E57" s="10" t="s">
        <v>6</v>
      </c>
      <c r="F57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L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35" style="2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2" ht="21" x14ac:dyDescent="0.35">
      <c r="A1" s="40" t="s">
        <v>85</v>
      </c>
      <c r="B1" s="39" t="s">
        <v>167</v>
      </c>
    </row>
    <row r="2" spans="1:12" ht="18.75" x14ac:dyDescent="0.3">
      <c r="B2" s="38" t="s">
        <v>166</v>
      </c>
    </row>
    <row r="5" spans="1:12" ht="15" x14ac:dyDescent="0.25">
      <c r="B5" s="1" t="s">
        <v>151</v>
      </c>
    </row>
    <row r="6" spans="1:12" ht="15.75" x14ac:dyDescent="0.25">
      <c r="A6" s="3" t="s">
        <v>53</v>
      </c>
      <c r="B6" s="43" t="s">
        <v>186</v>
      </c>
      <c r="C6" s="49"/>
      <c r="D6" s="49"/>
      <c r="E6" s="49"/>
      <c r="F6" s="49"/>
      <c r="G6" s="49"/>
      <c r="H6" s="49"/>
      <c r="I6" s="49"/>
      <c r="J6" s="49"/>
      <c r="K6" s="49"/>
      <c r="L6" s="49"/>
    </row>
    <row r="7" spans="1:12" ht="15.75" x14ac:dyDescent="0.25">
      <c r="A7" s="3" t="s">
        <v>153</v>
      </c>
      <c r="B7" s="43" t="s">
        <v>184</v>
      </c>
      <c r="C7" s="49"/>
      <c r="D7" s="49"/>
      <c r="E7" s="49"/>
      <c r="F7" s="49"/>
      <c r="G7" s="49"/>
      <c r="H7" s="49"/>
      <c r="I7" s="49"/>
      <c r="J7" s="49"/>
      <c r="K7" s="49"/>
      <c r="L7" s="49"/>
    </row>
    <row r="8" spans="1:12" ht="15" x14ac:dyDescent="0.25">
      <c r="B8" s="49" t="s">
        <v>185</v>
      </c>
      <c r="C8" s="49"/>
      <c r="D8" s="49"/>
      <c r="E8" s="49"/>
      <c r="F8" s="49"/>
      <c r="G8" s="49"/>
      <c r="H8" s="49"/>
      <c r="I8" s="49"/>
      <c r="J8" s="49"/>
      <c r="K8" s="49"/>
      <c r="L8" s="49"/>
    </row>
    <row r="10" spans="1:12" ht="23.25" x14ac:dyDescent="0.35">
      <c r="A10" s="17" t="s">
        <v>162</v>
      </c>
    </row>
    <row r="11" spans="1:12" ht="15" x14ac:dyDescent="0.25">
      <c r="A11" s="31" t="s">
        <v>86</v>
      </c>
      <c r="B11" s="16" t="s">
        <v>87</v>
      </c>
      <c r="C11" s="16" t="s">
        <v>88</v>
      </c>
    </row>
    <row r="12" spans="1:12" ht="15" x14ac:dyDescent="0.25">
      <c r="A12" s="31">
        <v>44927</v>
      </c>
      <c r="B12" s="16" t="s">
        <v>59</v>
      </c>
      <c r="C12" s="16">
        <v>200</v>
      </c>
    </row>
    <row r="13" spans="1:12" ht="15" x14ac:dyDescent="0.25">
      <c r="A13" s="31">
        <v>44928</v>
      </c>
      <c r="B13" s="16" t="s">
        <v>60</v>
      </c>
      <c r="C13" s="16" t="e">
        <v>#N/A</v>
      </c>
    </row>
    <row r="14" spans="1:12" ht="15" x14ac:dyDescent="0.25">
      <c r="A14" s="31">
        <v>44929</v>
      </c>
      <c r="B14" s="16" t="s">
        <v>61</v>
      </c>
      <c r="C14" s="16">
        <v>50</v>
      </c>
    </row>
    <row r="15" spans="1:12" ht="15" x14ac:dyDescent="0.25">
      <c r="A15" s="31">
        <v>44930</v>
      </c>
      <c r="B15" s="16" t="s">
        <v>62</v>
      </c>
      <c r="C15" s="16" t="e">
        <v>#N/A</v>
      </c>
    </row>
    <row r="16" spans="1:12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SUM(IFERROR(C11:C21,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22" sqref="K22"/>
    </sheetView>
  </sheetViews>
  <sheetFormatPr defaultColWidth="11" defaultRowHeight="12.75" x14ac:dyDescent="0.2"/>
  <cols>
    <col min="1" max="1" width="28.1640625" style="2" bestFit="1" customWidth="1"/>
    <col min="2" max="10" width="11" style="2"/>
    <col min="11" max="11" width="67" style="2" customWidth="1"/>
    <col min="12" max="12" width="11" style="2" customWidth="1"/>
    <col min="13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54" t="s">
        <v>187</v>
      </c>
      <c r="D4" s="54"/>
      <c r="E4" s="54"/>
      <c r="F4" s="49"/>
      <c r="G4" s="49"/>
      <c r="H4" s="49"/>
      <c r="I4" s="49"/>
      <c r="J4" s="49"/>
      <c r="K4" s="49"/>
      <c r="L4" s="49"/>
      <c r="M4" s="49"/>
      <c r="N4" s="49"/>
    </row>
    <row r="5" spans="1:14" ht="18.75" x14ac:dyDescent="0.3">
      <c r="A5" s="41" t="s">
        <v>153</v>
      </c>
      <c r="B5" s="1"/>
      <c r="C5" s="2" t="s">
        <v>188</v>
      </c>
    </row>
    <row r="6" spans="1:14" ht="15" x14ac:dyDescent="0.25">
      <c r="A6" s="3"/>
      <c r="B6" s="1"/>
      <c r="C6" s="49" t="s">
        <v>189</v>
      </c>
      <c r="D6" s="49"/>
      <c r="E6" s="49"/>
      <c r="F6" s="49"/>
      <c r="G6" s="49"/>
      <c r="H6" s="49"/>
      <c r="I6" s="49"/>
      <c r="J6" s="49"/>
      <c r="K6" s="49"/>
    </row>
    <row r="7" spans="1:14" x14ac:dyDescent="0.2">
      <c r="C7" s="49" t="s">
        <v>190</v>
      </c>
      <c r="D7" s="49"/>
      <c r="E7" s="49"/>
      <c r="F7" s="49"/>
      <c r="G7" s="49"/>
      <c r="H7" s="49"/>
      <c r="I7" s="49"/>
      <c r="J7" s="49"/>
      <c r="K7" s="49"/>
      <c r="L7" s="2">
        <v>4</v>
      </c>
    </row>
    <row r="8" spans="1:14" ht="23.25" x14ac:dyDescent="0.35">
      <c r="A8" s="17" t="s">
        <v>162</v>
      </c>
      <c r="C8" s="49" t="s">
        <v>191</v>
      </c>
      <c r="D8" s="49"/>
      <c r="E8" s="49"/>
      <c r="F8" s="49"/>
      <c r="G8" s="49"/>
      <c r="H8" s="49"/>
      <c r="I8" s="49"/>
      <c r="J8" s="49"/>
      <c r="K8" s="49"/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25" x14ac:dyDescent="0.35">
      <c r="A21" s="17" t="s">
        <v>168</v>
      </c>
    </row>
    <row r="22" spans="1:14" ht="15" x14ac:dyDescent="0.25">
      <c r="A22" s="14" t="s">
        <v>100</v>
      </c>
      <c r="B22" s="16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35">
        <f>INDEX($A$9:$J$18,MATCH(VLOOKUP(A23,$M$9:$N$18,2,FALSE),$A$9:$J$9,0),MATCH(VLOOKUP(B23,$M$9:$N$18,2,FALSE),$A$9:$A$18,0))</f>
        <v>95</v>
      </c>
    </row>
    <row r="24" spans="1:14" ht="15" x14ac:dyDescent="0.25">
      <c r="A24" s="7">
        <v>10100</v>
      </c>
      <c r="B24" s="12">
        <v>10104</v>
      </c>
      <c r="C24" s="35">
        <f t="shared" ref="C24:C35" si="0">INDEX($A$9:$J$18,MATCH(VLOOKUP(A24,$M$9:$N$18,2,FALSE),$A$9:$J$9,0),MATCH(VLOOKUP(B24,$M$9:$N$18,2,FALSE),$A$9:$A$18,0))</f>
        <v>-1</v>
      </c>
    </row>
    <row r="25" spans="1:14" ht="15" x14ac:dyDescent="0.25">
      <c r="A25" s="7">
        <v>10108</v>
      </c>
      <c r="B25" s="12">
        <v>10102</v>
      </c>
      <c r="C25" s="35">
        <f t="shared" si="0"/>
        <v>160</v>
      </c>
    </row>
    <row r="26" spans="1:14" ht="15" x14ac:dyDescent="0.25">
      <c r="A26" s="7">
        <v>10100</v>
      </c>
      <c r="B26" s="12">
        <v>10106</v>
      </c>
      <c r="C26" s="35">
        <f t="shared" si="0"/>
        <v>185</v>
      </c>
    </row>
    <row r="27" spans="1:14" ht="15" x14ac:dyDescent="0.25">
      <c r="A27" s="7">
        <v>10108</v>
      </c>
      <c r="B27" s="12">
        <v>10110</v>
      </c>
      <c r="C27" s="35">
        <f t="shared" si="0"/>
        <v>50</v>
      </c>
    </row>
    <row r="28" spans="1:14" ht="15" x14ac:dyDescent="0.25">
      <c r="A28" s="7">
        <v>10102</v>
      </c>
      <c r="B28" s="12">
        <v>10104</v>
      </c>
      <c r="C28" s="35">
        <f t="shared" si="0"/>
        <v>-1</v>
      </c>
    </row>
    <row r="29" spans="1:14" ht="15" x14ac:dyDescent="0.25">
      <c r="A29" s="7">
        <v>10106</v>
      </c>
      <c r="B29" s="12">
        <v>10108</v>
      </c>
      <c r="C29" s="35">
        <f t="shared" si="0"/>
        <v>70</v>
      </c>
    </row>
    <row r="30" spans="1:14" ht="15" x14ac:dyDescent="0.25">
      <c r="A30" s="7">
        <v>10102</v>
      </c>
      <c r="B30" s="12">
        <v>10106</v>
      </c>
      <c r="C30" s="35">
        <f t="shared" si="0"/>
        <v>90</v>
      </c>
    </row>
    <row r="31" spans="1:14" ht="15" x14ac:dyDescent="0.25">
      <c r="A31" s="7">
        <v>10110</v>
      </c>
      <c r="B31" s="12">
        <v>10114</v>
      </c>
      <c r="C31" s="35">
        <f t="shared" si="0"/>
        <v>180</v>
      </c>
    </row>
    <row r="32" spans="1:14" ht="15" x14ac:dyDescent="0.25">
      <c r="A32" s="7">
        <v>10104</v>
      </c>
      <c r="B32" s="12">
        <v>10106</v>
      </c>
      <c r="C32" s="35">
        <f t="shared" si="0"/>
        <v>60</v>
      </c>
    </row>
    <row r="33" spans="1:3" ht="15" x14ac:dyDescent="0.25">
      <c r="A33" s="7">
        <v>10110</v>
      </c>
      <c r="B33" s="12">
        <v>10112</v>
      </c>
      <c r="C33" s="35">
        <f t="shared" si="0"/>
        <v>115</v>
      </c>
    </row>
    <row r="34" spans="1:3" ht="15" x14ac:dyDescent="0.25">
      <c r="A34" s="7">
        <v>10100</v>
      </c>
      <c r="B34" s="12">
        <v>10114</v>
      </c>
      <c r="C34" s="35">
        <f t="shared" si="0"/>
        <v>480</v>
      </c>
    </row>
    <row r="35" spans="1:3" ht="15" x14ac:dyDescent="0.25">
      <c r="A35" s="9">
        <v>10112</v>
      </c>
      <c r="B35" s="13">
        <v>10116</v>
      </c>
      <c r="C35" s="5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A</vt:lpstr>
      <vt:lpstr>B</vt:lpstr>
      <vt:lpstr>C_</vt:lpstr>
      <vt:lpstr>D</vt:lpstr>
      <vt:lpstr>E</vt:lpstr>
      <vt:lpstr>F</vt:lpstr>
      <vt:lpstr>G</vt:lpstr>
      <vt:lpstr>H</vt:lpstr>
      <vt:lpstr>I</vt:lpstr>
      <vt:lpstr>Table_A</vt:lpstr>
      <vt:lpstr>Table_B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sourav pattanayak</cp:lastModifiedBy>
  <dcterms:created xsi:type="dcterms:W3CDTF">2015-02-10T17:33:11Z</dcterms:created>
  <dcterms:modified xsi:type="dcterms:W3CDTF">2023-12-10T14:02:53Z</dcterms:modified>
</cp:coreProperties>
</file>