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abhi1\OneDrive\Desktop\MapUp-Data-Assessment-F\"/>
    </mc:Choice>
  </mc:AlternateContent>
  <xr:revisionPtr revIDLastSave="0" documentId="8_{6FE173FA-7A62-445C-BB39-BFBEA75970AB}" xr6:coauthVersionLast="47" xr6:coauthVersionMax="47" xr10:uidLastSave="{00000000-0000-0000-0000-000000000000}"/>
  <bookViews>
    <workbookView xWindow="-108" yWindow="-108" windowWidth="23256" windowHeight="12456" tabRatio="849" activeTab="7" xr2:uid="{00000000-000D-0000-FFFF-FFFF00000000}"/>
  </bookViews>
  <sheets>
    <sheet name="Instructions" sheetId="22" r:id="rId1"/>
    <sheet name="Dataset" sheetId="1" r:id="rId2"/>
    <sheet name="Task_1" sheetId="15" r:id="rId3"/>
    <sheet name="Task1_result" sheetId="23" r:id="rId4"/>
    <sheet name="Task_2" sheetId="18" r:id="rId5"/>
    <sheet name="Task_3" sheetId="16" r:id="rId6"/>
    <sheet name="Task_4" sheetId="19" r:id="rId7"/>
    <sheet name="Task_5" sheetId="20" r:id="rId8"/>
  </sheets>
  <definedNames>
    <definedName name="_xlnm._FilterDatabase" localSheetId="1" hidden="1">Dataset!$A$1:$W$40</definedName>
    <definedName name="_xlnm.Criteria" localSheetId="4">Task_2!$A$5:$A$27</definedName>
    <definedName name="data">Table3[]</definedName>
    <definedName name="data_a">Task_5!$A$10:$J$18</definedName>
    <definedName name="data1">Task_5!$A$10:$J$18</definedName>
    <definedName name="_xlnm.Extract" localSheetId="4">Task_2!$B$6:$Y$6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table_a">Task_5!$A$10:$J$18</definedName>
    <definedName name="table_b">Task_5!$M$10:$N$18</definedName>
    <definedName name="tables1">Task_5!$A$9:$J$18</definedName>
    <definedName name="tables2">Task_5!$M$9:$N$18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23" i="20"/>
  <c r="C22" i="19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C5" i="15"/>
  <c r="H41" i="23"/>
</calcChain>
</file>

<file path=xl/sharedStrings.xml><?xml version="1.0" encoding="utf-8"?>
<sst xmlns="http://schemas.openxmlformats.org/spreadsheetml/2006/main" count="547" uniqueCount="183">
  <si>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</si>
  <si>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</si>
  <si>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</si>
  <si>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</si>
  <si>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</si>
  <si>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</si>
  <si>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</si>
  <si>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</si>
  <si>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</si>
  <si>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</si>
  <si>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</si>
  <si>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</si>
  <si>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</si>
  <si>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</si>
  <si>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</si>
  <si>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</si>
  <si>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</si>
  <si>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</si>
  <si>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</si>
  <si>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</si>
  <si>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</si>
  <si>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</si>
  <si>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</si>
  <si>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</si>
  <si>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</si>
  <si>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</si>
  <si>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</si>
  <si>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</si>
  <si>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</si>
  <si>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</si>
  <si>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</si>
  <si>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</si>
  <si>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</si>
  <si>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</si>
  <si>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</si>
  <si>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</si>
  <si>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</si>
  <si>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</si>
  <si>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</si>
  <si>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</si>
  <si>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</si>
  <si>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</si>
  <si>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</si>
  <si>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</si>
  <si>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</si>
  <si>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</si>
  <si>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</si>
  <si>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</si>
  <si>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</si>
  <si>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</si>
  <si>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</si>
  <si>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</si>
  <si>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</si>
  <si>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</si>
  <si>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</si>
  <si>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</si>
  <si>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</si>
  <si>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</si>
  <si>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</si>
  <si>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</si>
  <si>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</si>
  <si>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</si>
  <si>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</si>
  <si>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</si>
  <si>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</si>
  <si>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</si>
  <si>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</si>
  <si>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</si>
  <si>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</si>
  <si>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</si>
  <si>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</si>
  <si>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</si>
  <si>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</si>
  <si>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</si>
  <si>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</si>
  <si>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</si>
  <si>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</si>
  <si>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</si>
  <si>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</si>
  <si>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</si>
  <si>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</si>
  <si>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</si>
  <si>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</si>
  <si>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</si>
  <si>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</si>
  <si>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</si>
  <si>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</si>
  <si>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</si>
  <si>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</si>
  <si>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</si>
  <si>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</si>
  <si>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</si>
  <si>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</si>
  <si>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</si>
  <si>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</si>
  <si>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</si>
  <si>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</si>
  <si>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</si>
  <si>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</si>
  <si>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</si>
  <si>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</si>
  <si>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</si>
  <si>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</si>
  <si>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</si>
  <si>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</si>
  <si>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</si>
  <si>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</si>
  <si>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</si>
  <si>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</si>
  <si>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</si>
  <si>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</si>
  <si>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</si>
  <si>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</si>
  <si>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</si>
  <si>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</si>
  <si>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</si>
  <si>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</si>
  <si>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</si>
  <si>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</si>
  <si>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</si>
  <si>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</si>
  <si>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</si>
  <si>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</si>
  <si>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</si>
  <si>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</si>
  <si>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</si>
  <si>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</si>
  <si>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</si>
  <si>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</si>
  <si>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</si>
  <si>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</si>
  <si>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</si>
  <si>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</si>
  <si>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</si>
  <si>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</si>
  <si>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</si>
  <si>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</si>
  <si>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</si>
  <si>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</si>
  <si>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</si>
  <si>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</si>
  <si>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</si>
  <si>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</si>
  <si>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</si>
  <si>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</si>
  <si>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</si>
  <si>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</si>
  <si>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</si>
  <si>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</si>
  <si>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</si>
  <si>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</si>
  <si>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</si>
  <si>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</si>
  <si>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</si>
  <si>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</si>
  <si>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</si>
  <si>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</si>
  <si>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</si>
  <si>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</si>
  <si>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</si>
  <si>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</si>
  <si>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</si>
  <si>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</si>
  <si>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</si>
  <si>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</si>
  <si>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</si>
  <si>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</si>
  <si>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</si>
  <si>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</si>
  <si>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</si>
  <si>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</si>
  <si>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</si>
  <si>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</si>
  <si>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</si>
  <si>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</si>
  <si>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</si>
  <si>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</si>
  <si>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First go to home then select find &amp; select then click on replace then go to replace after that in find what fill #N/A and in replace with fill 20 and click on Replace all we see that in Table_A column name Sales all #N/A fill with 20. Then we have to use formula for sum Sales column i.e. =SUM(C12:C21) we find the result --600</t>
  </si>
  <si>
    <t>Home -&gt; Find&amp;select -&gt; Replace -&gt; Replace -&gt; Find what(#N/A) -&gt; Replace with (20) -&gt; =SUM(C12:C21)</t>
  </si>
  <si>
    <t>Data -&gt; Text &amp; Column -&gt; Select Delimited -&gt; Click on next -&gt; in delimiter tick on other and fill with -(dash) -&gt; click on next -&gt; click on finish</t>
  </si>
  <si>
    <t>First go to data then select text &amp; column then click delimited after that in delimiter tick on other and fill (-) dash then click on next and after that click on finish.</t>
  </si>
  <si>
    <t>INDEX($A$9:$I$18,MATCH(VLOOKUP(A22,$M$9:$N$18,2,FALSE),$A$9:$A$18,0),MATCH(VLOOKUP(B22,$M$9:$N$18,2,FALSE),$A$9:$I$9,0))</t>
  </si>
  <si>
    <t>Steps for using funtion VLOOKUP, MATCH and INDEX in Table_C for find values ----1.VLOOKUP(A22, $M$9:$N$18, 2, FALSE) 2.MATCH(..., $A$9:$A$18, 0) 3.MATCH(..., $A$9:$I$9, 0) 4.INDEX($A$9:$I$18, ... , ...)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</si>
</sst>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17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theme="4"/>
      </top>
      <bottom style="thin">
        <color theme="4" tint="0.39997558519241921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1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4" fillId="0" borderId="0" xfId="0" applyFont="1"/>
    <xf numFmtId="0" fontId="15" fillId="0" borderId="0" xfId="0" applyFont="1"/>
    <xf numFmtId="0" fontId="16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4" fillId="0" borderId="12" xfId="0" applyFont="1" applyBorder="1"/>
    <xf numFmtId="166" fontId="3" fillId="0" borderId="0" xfId="0" applyNumberFormat="1" applyFont="1"/>
    <xf numFmtId="0" fontId="7" fillId="0" borderId="8" xfId="0" applyFont="1" applyBorder="1"/>
    <xf numFmtId="0" fontId="4" fillId="0" borderId="1" xfId="0" applyFont="1" applyBorder="1"/>
    <xf numFmtId="0" fontId="3" fillId="5" borderId="8" xfId="0" applyFont="1" applyFill="1" applyBorder="1"/>
    <xf numFmtId="0" fontId="3" fillId="6" borderId="1" xfId="0" applyFont="1" applyFill="1" applyBorder="1"/>
    <xf numFmtId="0" fontId="3" fillId="7" borderId="1" xfId="0" applyFont="1" applyFill="1" applyBorder="1"/>
    <xf numFmtId="0" fontId="4" fillId="8" borderId="1" xfId="0" applyFont="1" applyFill="1" applyBorder="1"/>
    <xf numFmtId="0" fontId="8" fillId="0" borderId="0" xfId="0" applyFont="1" applyBorder="1"/>
    <xf numFmtId="0" fontId="8" fillId="0" borderId="8" xfId="0" applyFont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6" formatCode="[$-14009]yyyy/mm/d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4" formatCode="h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4" formatCode="h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4" formatCode="h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4" formatCode="h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rgb="FF000000"/>
          <bgColor rgb="FFB1A0C7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4" formatCode="h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4" formatCode="h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rgb="FF000000"/>
          <bgColor rgb="FFB1A0C7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86"/>
      <tableStyleElement type="headerRow" dxfId="8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B0B568B-E0CD-42C5-A0BB-44FD7179BF3D}" name="Table3" displayName="Table3" ref="A1:X40" totalsRowShown="0" headerRowDxfId="82" dataDxfId="81">
  <autoFilter ref="A1:X40" xr:uid="{9B0B568B-E0CD-42C5-A0BB-44FD7179BF3D}"/>
  <tableColumns count="24">
    <tableColumn id="1" xr3:uid="{096A2DD8-07F8-44A2-BEEE-30ED029B3CA7}" name="name" dataDxfId="80"/>
    <tableColumn id="2" xr3:uid="{3B070583-197B-4CCE-8F2D-5287D0FEF8DC}" name="ID" dataDxfId="79"/>
    <tableColumn id="3" xr3:uid="{5D20DB2B-C14A-4589-917F-24364AECDEA7}" name="start_day" dataDxfId="78"/>
    <tableColumn id="4" xr3:uid="{70C12823-17C0-4558-B27C-F628FB167723}" name="start_time" dataDxfId="77"/>
    <tableColumn id="5" xr3:uid="{BBEB7F73-2BDD-4382-ADD4-DA9848FE4FF7}" name="end_day" dataDxfId="76"/>
    <tableColumn id="6" xr3:uid="{78A34D8A-68EF-4915-910E-ABE223F1625D}" name="end_time" dataDxfId="75"/>
    <tableColumn id="7" xr3:uid="{FFCFED6C-C03E-4FA3-BA79-326AF05BEB2E}" name="car1" dataDxfId="74"/>
    <tableColumn id="8" xr3:uid="{7E1D3ADB-3717-461C-AACE-F947D388249A}" name="car2" dataDxfId="73"/>
    <tableColumn id="9" xr3:uid="{976D5447-71B7-4C80-8C17-C44DAC559702}" name="car3" dataDxfId="72"/>
    <tableColumn id="10" xr3:uid="{77ACDBA8-E65F-4E11-A0F2-7D6D5169B247}" name="moto1" dataDxfId="71"/>
    <tableColumn id="11" xr3:uid="{7A81980D-173F-4238-ADEC-9A417BA382E8}" name="moto2" dataDxfId="70"/>
    <tableColumn id="12" xr3:uid="{080DA811-CD2D-43FD-971D-13A55927F3A7}" name="moto3" dataDxfId="69"/>
    <tableColumn id="13" xr3:uid="{BF201386-187A-414B-9847-8031007CA1D3}" name="bus1" dataDxfId="68"/>
    <tableColumn id="14" xr3:uid="{A88E1F7C-983E-4C0E-9523-9D61E1B31030}" name="bus2" dataDxfId="67"/>
    <tableColumn id="15" xr3:uid="{49BE2A49-AED2-495B-B10D-E5AECDC35A93}" name="bus3" dataDxfId="66"/>
    <tableColumn id="16" xr3:uid="{2A2EEF9F-1FDD-4C0B-84FA-D691B30ABDD5}" name="rv1" dataDxfId="65"/>
    <tableColumn id="17" xr3:uid="{068A4482-E5FB-42D1-B36E-CE3928EAA334}" name="rv2" dataDxfId="64"/>
    <tableColumn id="18" xr3:uid="{0A5352A4-BCB5-407B-BEB2-DFA4E28AC05B}" name="rv3" dataDxfId="63"/>
    <tableColumn id="19" xr3:uid="{AB8D3342-216B-44C2-9C92-C811B73365B0}" name="truck1" dataDxfId="62"/>
    <tableColumn id="20" xr3:uid="{13FFDA4F-B596-4CF8-8801-3F17EFE8C376}" name="truck2" dataDxfId="61"/>
    <tableColumn id="21" xr3:uid="{77653904-7B72-4066-AC7A-26648DE5AEC3}" name="taxi1" dataDxfId="60"/>
    <tableColumn id="22" xr3:uid="{4ED2D127-CCBC-4D54-8F8A-F334683210A3}" name="taxi2" dataDxfId="59"/>
    <tableColumn id="23" xr3:uid="{83E6A10B-85B3-494F-A2C7-2857ED9AA60A}" name="taxi3" dataDxfId="58"/>
    <tableColumn id="24" xr3:uid="{EBB4A28A-D58D-4FB9-A7D5-7FAB79F05417}" name="date" dataDxfId="5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C600966-3339-42FE-973A-D6DC77760BEB}" name="Table1" displayName="Table1" ref="A1:X41" totalsRowCount="1" headerRowDxfId="51" dataDxfId="50">
  <autoFilter ref="A1:X40" xr:uid="{EC600966-3339-42FE-973A-D6DC77760BEB}"/>
  <tableColumns count="24">
    <tableColumn id="1" xr3:uid="{D8D2D7D9-6970-47DC-B990-D4DE5BD5FF3A}" name="name" dataDxfId="49" totalsRowDxfId="48"/>
    <tableColumn id="2" xr3:uid="{4B7A10F9-D6AC-46C0-8DA4-57E730E548F2}" name="ID" dataDxfId="47" totalsRowDxfId="46"/>
    <tableColumn id="3" xr3:uid="{D586F568-D014-4CE9-BBCD-64E333479CF1}" name="start_day" dataDxfId="45" totalsRowDxfId="44"/>
    <tableColumn id="4" xr3:uid="{C8DB243F-552F-4268-A319-FE5AD87454CB}" name="start_time" dataDxfId="43" totalsRowDxfId="42"/>
    <tableColumn id="5" xr3:uid="{9ADC89C7-4F40-488F-8CD8-13966967F481}" name="end_day" dataDxfId="41" totalsRowDxfId="40"/>
    <tableColumn id="6" xr3:uid="{65F201F8-BFC0-495F-9C4E-1EB16837369A}" name="end_time" dataDxfId="39" totalsRowDxfId="38"/>
    <tableColumn id="7" xr3:uid="{B334C1AC-D480-4271-BA3E-3BA3A52512B9}" name="car1" dataDxfId="37" totalsRowDxfId="36"/>
    <tableColumn id="8" xr3:uid="{64712BAB-2865-4691-850E-548AB841BAD3}" name="car2" totalsRowFunction="custom" dataDxfId="35" totalsRowDxfId="34">
      <totalsRowFormula>SUMIF(H2:H40,"&gt;20")</totalsRowFormula>
    </tableColumn>
    <tableColumn id="9" xr3:uid="{E25DEA2A-EAE5-4664-865C-2B13ECEC695A}" name="car3" dataDxfId="33" totalsRowDxfId="32"/>
    <tableColumn id="10" xr3:uid="{D5FD1888-861E-4793-9A21-91447C3C4822}" name="moto1" dataDxfId="31" totalsRowDxfId="30"/>
    <tableColumn id="11" xr3:uid="{385EA2E9-A0B6-4A5D-872E-0AAAA87C4F64}" name="moto2" dataDxfId="29" totalsRowDxfId="28"/>
    <tableColumn id="12" xr3:uid="{2A6AE6BA-EF02-4D1C-935B-E67C961F275D}" name="moto3" dataDxfId="27" totalsRowDxfId="26"/>
    <tableColumn id="13" xr3:uid="{A40DE01C-F26D-444B-B979-E7D4612FD9FE}" name="bus1" dataDxfId="25" totalsRowDxfId="24"/>
    <tableColumn id="14" xr3:uid="{0F3852DB-79BD-427F-A528-32A7F4C956EE}" name="bus2" dataDxfId="23" totalsRowDxfId="22"/>
    <tableColumn id="15" xr3:uid="{16F2B38D-B4B9-4531-8477-D8EAF92F97AD}" name="bus3" dataDxfId="21" totalsRowDxfId="20"/>
    <tableColumn id="16" xr3:uid="{7D42DFDC-909A-4C08-B3D7-1C7336AA9FCE}" name="rv1" dataDxfId="19" totalsRowDxfId="18"/>
    <tableColumn id="17" xr3:uid="{D03B6C42-785D-4E2F-94E8-886EFAEA3103}" name="rv2" dataDxfId="17" totalsRowDxfId="16"/>
    <tableColumn id="18" xr3:uid="{51AF1A54-4C55-4112-9D72-05FE6ACD77A5}" name="rv3" dataDxfId="15" totalsRowDxfId="14"/>
    <tableColumn id="19" xr3:uid="{549434D2-457D-45DA-9963-C5AB3032C651}" name="truck1" dataDxfId="13" totalsRowDxfId="12"/>
    <tableColumn id="20" xr3:uid="{8DA37B45-C9D9-45E7-A346-B296B19C521C}" name="truck2" dataDxfId="11" totalsRowDxfId="10"/>
    <tableColumn id="21" xr3:uid="{495F8195-10BB-4AE9-B842-EE181FDC0249}" name="taxi1" dataDxfId="9" totalsRowDxfId="8"/>
    <tableColumn id="22" xr3:uid="{E0011A78-5A25-44C1-878A-AF3A88D34823}" name="taxi2" dataDxfId="7" totalsRowDxfId="6"/>
    <tableColumn id="23" xr3:uid="{B14B3A49-4ED5-408A-90CF-E10A676E9741}" name="taxi3" dataDxfId="5" totalsRowDxfId="4"/>
    <tableColumn id="24" xr3:uid="{B2996D5A-E27B-4AB4-A519-B601599A992F}" name="date" dataDxfId="3" totalsRow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tabSelected="1" zoomScaleNormal="100" workbookViewId="0">
      <selection activeCell="B5" sqref="B5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5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2" t="s">
        <v>171</v>
      </c>
      <c r="B9" s="23" t="s">
        <v>169</v>
      </c>
    </row>
    <row r="10" spans="1:3" x14ac:dyDescent="0.3">
      <c r="A10" s="31" t="s">
        <v>172</v>
      </c>
      <c r="B10" s="33">
        <v>25</v>
      </c>
    </row>
    <row r="11" spans="1:3" x14ac:dyDescent="0.3">
      <c r="A11" s="31" t="s">
        <v>55</v>
      </c>
      <c r="B11" s="33">
        <v>30</v>
      </c>
    </row>
    <row r="12" spans="1:3" x14ac:dyDescent="0.3">
      <c r="A12" s="31" t="s">
        <v>56</v>
      </c>
      <c r="B12" s="33">
        <v>10</v>
      </c>
    </row>
    <row r="13" spans="1:3" x14ac:dyDescent="0.3">
      <c r="A13" s="31" t="s">
        <v>85</v>
      </c>
      <c r="B13" s="33">
        <v>20</v>
      </c>
    </row>
    <row r="14" spans="1:3" x14ac:dyDescent="0.3">
      <c r="A14" s="31" t="s">
        <v>98</v>
      </c>
      <c r="B14" s="33">
        <v>40</v>
      </c>
    </row>
    <row r="15" spans="1:3" x14ac:dyDescent="0.3">
      <c r="A15" s="34" t="s">
        <v>170</v>
      </c>
      <c r="B15" s="22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abSelected="1" topLeftCell="A2" zoomScaleNormal="100" workbookViewId="0">
      <selection activeCell="B5" sqref="B5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10.77734375" style="1" customWidth="1"/>
    <col min="4" max="4" width="11.44140625" style="21" customWidth="1"/>
    <col min="5" max="5" width="10.21875" style="1" customWidth="1"/>
    <col min="6" max="6" width="10.88671875" style="2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5" t="s">
        <v>64</v>
      </c>
      <c r="B1" s="25" t="s">
        <v>43</v>
      </c>
      <c r="C1" s="25" t="s">
        <v>0</v>
      </c>
      <c r="D1" s="26" t="s">
        <v>1</v>
      </c>
      <c r="E1" s="25" t="s">
        <v>2</v>
      </c>
      <c r="F1" s="26" t="s">
        <v>3</v>
      </c>
      <c r="G1" s="27" t="s">
        <v>79</v>
      </c>
      <c r="H1" s="27" t="s">
        <v>65</v>
      </c>
      <c r="I1" s="27" t="s">
        <v>66</v>
      </c>
      <c r="J1" s="28" t="s">
        <v>67</v>
      </c>
      <c r="K1" s="28" t="s">
        <v>68</v>
      </c>
      <c r="L1" s="28" t="s">
        <v>69</v>
      </c>
      <c r="M1" s="27" t="s">
        <v>70</v>
      </c>
      <c r="N1" s="27" t="s">
        <v>71</v>
      </c>
      <c r="O1" s="27" t="s">
        <v>72</v>
      </c>
      <c r="P1" s="28" t="s">
        <v>73</v>
      </c>
      <c r="Q1" s="28" t="s">
        <v>74</v>
      </c>
      <c r="R1" s="28" t="s">
        <v>75</v>
      </c>
      <c r="S1" s="27" t="s">
        <v>80</v>
      </c>
      <c r="T1" s="27" t="s">
        <v>76</v>
      </c>
      <c r="U1" s="28" t="s">
        <v>81</v>
      </c>
      <c r="V1" s="28" t="s">
        <v>77</v>
      </c>
      <c r="W1" s="28" t="s">
        <v>78</v>
      </c>
      <c r="X1" s="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1">
        <v>0</v>
      </c>
      <c r="E2" s="1" t="s">
        <v>6</v>
      </c>
      <c r="F2" s="21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4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1">
        <v>0</v>
      </c>
      <c r="E3" s="1" t="s">
        <v>6</v>
      </c>
      <c r="F3" s="21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4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1">
        <v>0</v>
      </c>
      <c r="E4" s="1" t="s">
        <v>6</v>
      </c>
      <c r="F4" s="21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4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1">
        <v>0</v>
      </c>
      <c r="E5" s="1" t="s">
        <v>6</v>
      </c>
      <c r="F5" s="21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4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1">
        <v>0</v>
      </c>
      <c r="E6" s="1" t="s">
        <v>6</v>
      </c>
      <c r="F6" s="21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4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1">
        <v>0</v>
      </c>
      <c r="E7" s="1" t="s">
        <v>6</v>
      </c>
      <c r="F7" s="21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4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1">
        <v>0</v>
      </c>
      <c r="E8" s="1" t="s">
        <v>6</v>
      </c>
      <c r="F8" s="21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4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1">
        <v>0</v>
      </c>
      <c r="E9" s="1" t="s">
        <v>6</v>
      </c>
      <c r="F9" s="21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4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1">
        <v>0</v>
      </c>
      <c r="E10" s="1" t="s">
        <v>6</v>
      </c>
      <c r="F10" s="21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4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1">
        <v>0</v>
      </c>
      <c r="E11" s="1" t="s">
        <v>6</v>
      </c>
      <c r="F11" s="21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4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1">
        <v>0</v>
      </c>
      <c r="E12" s="1" t="s">
        <v>6</v>
      </c>
      <c r="F12" s="21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4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1">
        <v>0</v>
      </c>
      <c r="E13" s="1" t="s">
        <v>6</v>
      </c>
      <c r="F13" s="21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4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1">
        <v>0</v>
      </c>
      <c r="E14" s="1" t="s">
        <v>6</v>
      </c>
      <c r="F14" s="21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4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1">
        <v>0</v>
      </c>
      <c r="E15" s="1" t="s">
        <v>6</v>
      </c>
      <c r="F15" s="21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4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1">
        <v>0</v>
      </c>
      <c r="E16" s="1" t="s">
        <v>6</v>
      </c>
      <c r="F16" s="21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4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1">
        <v>0</v>
      </c>
      <c r="E17" s="1" t="s">
        <v>6</v>
      </c>
      <c r="F17" s="21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4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1">
        <v>0</v>
      </c>
      <c r="E18" s="1" t="s">
        <v>6</v>
      </c>
      <c r="F18" s="21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4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1">
        <v>0</v>
      </c>
      <c r="E19" s="1" t="s">
        <v>6</v>
      </c>
      <c r="F19" s="21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4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1">
        <v>0</v>
      </c>
      <c r="E20" s="1" t="s">
        <v>6</v>
      </c>
      <c r="F20" s="21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4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1">
        <v>0</v>
      </c>
      <c r="E21" s="1" t="s">
        <v>6</v>
      </c>
      <c r="F21" s="21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4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1">
        <v>0</v>
      </c>
      <c r="E22" s="1" t="s">
        <v>6</v>
      </c>
      <c r="F22" s="21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4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1">
        <v>0</v>
      </c>
      <c r="E23" s="1" t="s">
        <v>6</v>
      </c>
      <c r="F23" s="21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4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1">
        <v>0</v>
      </c>
      <c r="E24" s="1" t="s">
        <v>6</v>
      </c>
      <c r="F24" s="21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4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1">
        <v>0</v>
      </c>
      <c r="E25" s="1" t="s">
        <v>6</v>
      </c>
      <c r="F25" s="21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4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1">
        <v>0</v>
      </c>
      <c r="E26" s="1" t="s">
        <v>6</v>
      </c>
      <c r="F26" s="21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4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1">
        <v>0</v>
      </c>
      <c r="E27" s="1" t="s">
        <v>6</v>
      </c>
      <c r="F27" s="21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4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1">
        <v>0</v>
      </c>
      <c r="E28" s="1" t="s">
        <v>6</v>
      </c>
      <c r="F28" s="21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4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1">
        <v>0</v>
      </c>
      <c r="E29" s="1" t="s">
        <v>6</v>
      </c>
      <c r="F29" s="21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4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1">
        <v>0</v>
      </c>
      <c r="E30" s="1" t="s">
        <v>6</v>
      </c>
      <c r="F30" s="21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4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1">
        <v>0</v>
      </c>
      <c r="E31" s="1" t="s">
        <v>6</v>
      </c>
      <c r="F31" s="21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4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1">
        <v>0</v>
      </c>
      <c r="E32" s="1" t="s">
        <v>6</v>
      </c>
      <c r="F32" s="21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4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1">
        <v>0</v>
      </c>
      <c r="E33" s="1" t="s">
        <v>6</v>
      </c>
      <c r="F33" s="21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4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1">
        <v>0</v>
      </c>
      <c r="E34" s="1" t="s">
        <v>6</v>
      </c>
      <c r="F34" s="21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4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1">
        <v>0</v>
      </c>
      <c r="E35" s="1" t="s">
        <v>6</v>
      </c>
      <c r="F35" s="21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4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1">
        <v>0</v>
      </c>
      <c r="E36" s="1" t="s">
        <v>6</v>
      </c>
      <c r="F36" s="21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4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1">
        <v>0</v>
      </c>
      <c r="E37" s="1" t="s">
        <v>6</v>
      </c>
      <c r="F37" s="21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4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1">
        <v>0</v>
      </c>
      <c r="E38" s="1" t="s">
        <v>6</v>
      </c>
      <c r="F38" s="21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4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1">
        <v>0</v>
      </c>
      <c r="E39" s="1" t="s">
        <v>6</v>
      </c>
      <c r="F39" s="21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4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1">
        <v>0</v>
      </c>
      <c r="E40" s="1" t="s">
        <v>6</v>
      </c>
      <c r="F40" s="21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4">
        <v>45162</v>
      </c>
    </row>
  </sheetData>
  <conditionalFormatting sqref="A1:A1048576">
    <cfRule type="duplicateValues" dxfId="84" priority="2"/>
  </conditionalFormatting>
  <conditionalFormatting sqref="B1:B1048576">
    <cfRule type="duplicateValues" dxfId="83" priority="1"/>
  </conditionalFormatting>
  <pageMargins left="0.75" right="0.75" top="1" bottom="1" header="0.5" footer="0.5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tabSelected="1" zoomScaleNormal="100" workbookViewId="0">
      <selection activeCell="B5" sqref="B5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ht="15" thickBot="1" x14ac:dyDescent="0.35">
      <c r="A4" s="6">
        <v>2</v>
      </c>
      <c r="B4" s="2" t="s">
        <v>46</v>
      </c>
      <c r="C4" s="2"/>
      <c r="E4" s="1">
        <v>5</v>
      </c>
    </row>
    <row r="5" spans="1:5" ht="15" thickTop="1" x14ac:dyDescent="0.3">
      <c r="A5" s="6">
        <v>3</v>
      </c>
      <c r="B5" s="2" t="s">
        <v>104</v>
      </c>
      <c r="C5" s="41">
        <f>SUMIF(Task1_result!H2:H40,"&gt;20")</f>
        <v>1473.0000000000002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16371-E596-4C62-837B-BF649ECEF500}">
  <dimension ref="A1:X41"/>
  <sheetViews>
    <sheetView tabSelected="1" workbookViewId="0">
      <pane ySplit="1" topLeftCell="A2" activePane="bottomLeft" state="frozen"/>
      <selection activeCell="B5" sqref="B5"/>
      <selection pane="bottomLeft" activeCell="B5" sqref="B5"/>
    </sheetView>
  </sheetViews>
  <sheetFormatPr defaultRowHeight="13.2" x14ac:dyDescent="0.25"/>
  <cols>
    <col min="1" max="1" width="16.6640625" bestFit="1" customWidth="1"/>
    <col min="2" max="2" width="6" bestFit="1" customWidth="1"/>
    <col min="3" max="3" width="11.109375" bestFit="1" customWidth="1"/>
    <col min="4" max="4" width="11.77734375" bestFit="1" customWidth="1"/>
    <col min="5" max="5" width="10.5546875" bestFit="1" customWidth="1"/>
    <col min="6" max="6" width="11.21875" bestFit="1" customWidth="1"/>
    <col min="7" max="9" width="6.77734375" bestFit="1" customWidth="1"/>
    <col min="10" max="12" width="8.77734375" bestFit="1" customWidth="1"/>
    <col min="13" max="13" width="7.21875" bestFit="1" customWidth="1"/>
    <col min="15" max="15" width="7.21875" bestFit="1" customWidth="1"/>
    <col min="16" max="18" width="5.88671875" bestFit="1" customWidth="1"/>
    <col min="19" max="20" width="8.5546875" bestFit="1" customWidth="1"/>
    <col min="21" max="23" width="7.21875" bestFit="1" customWidth="1"/>
    <col min="24" max="24" width="10.33203125" bestFit="1" customWidth="1"/>
  </cols>
  <sheetData>
    <row r="1" spans="1:24" ht="14.4" x14ac:dyDescent="0.3">
      <c r="A1" s="25" t="s">
        <v>64</v>
      </c>
      <c r="B1" s="25" t="s">
        <v>43</v>
      </c>
      <c r="C1" s="25" t="s">
        <v>0</v>
      </c>
      <c r="D1" s="26" t="s">
        <v>1</v>
      </c>
      <c r="E1" s="25" t="s">
        <v>2</v>
      </c>
      <c r="F1" s="26" t="s">
        <v>3</v>
      </c>
      <c r="G1" s="27" t="s">
        <v>79</v>
      </c>
      <c r="H1" s="27" t="s">
        <v>65</v>
      </c>
      <c r="I1" s="27" t="s">
        <v>66</v>
      </c>
      <c r="J1" s="28" t="s">
        <v>67</v>
      </c>
      <c r="K1" s="28" t="s">
        <v>68</v>
      </c>
      <c r="L1" s="28" t="s">
        <v>69</v>
      </c>
      <c r="M1" s="27" t="s">
        <v>70</v>
      </c>
      <c r="N1" s="27" t="s">
        <v>71</v>
      </c>
      <c r="O1" s="27" t="s">
        <v>72</v>
      </c>
      <c r="P1" s="28" t="s">
        <v>73</v>
      </c>
      <c r="Q1" s="28" t="s">
        <v>74</v>
      </c>
      <c r="R1" s="28" t="s">
        <v>75</v>
      </c>
      <c r="S1" s="27" t="s">
        <v>80</v>
      </c>
      <c r="T1" s="27" t="s">
        <v>76</v>
      </c>
      <c r="U1" s="28" t="s">
        <v>81</v>
      </c>
      <c r="V1" s="28" t="s">
        <v>77</v>
      </c>
      <c r="W1" s="28" t="s">
        <v>78</v>
      </c>
      <c r="X1" s="3" t="s">
        <v>105</v>
      </c>
    </row>
    <row r="2" spans="1:24" ht="14.4" x14ac:dyDescent="0.3">
      <c r="A2" s="1" t="s">
        <v>40</v>
      </c>
      <c r="B2" s="1">
        <v>20000</v>
      </c>
      <c r="C2" s="1" t="s">
        <v>5</v>
      </c>
      <c r="D2" s="21">
        <v>0</v>
      </c>
      <c r="E2" s="1" t="s">
        <v>6</v>
      </c>
      <c r="F2" s="21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2">
        <v>45051</v>
      </c>
    </row>
    <row r="3" spans="1:24" ht="14.4" x14ac:dyDescent="0.3">
      <c r="A3" s="1" t="s">
        <v>4</v>
      </c>
      <c r="B3" s="1">
        <v>20002</v>
      </c>
      <c r="C3" s="1" t="s">
        <v>5</v>
      </c>
      <c r="D3" s="21">
        <v>0</v>
      </c>
      <c r="E3" s="1" t="s">
        <v>6</v>
      </c>
      <c r="F3" s="21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2">
        <v>45048</v>
      </c>
    </row>
    <row r="4" spans="1:24" ht="14.4" x14ac:dyDescent="0.3">
      <c r="A4" s="1" t="s">
        <v>7</v>
      </c>
      <c r="B4" s="1">
        <v>20004</v>
      </c>
      <c r="C4" s="1" t="s">
        <v>5</v>
      </c>
      <c r="D4" s="21">
        <v>0</v>
      </c>
      <c r="E4" s="1" t="s">
        <v>6</v>
      </c>
      <c r="F4" s="21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2">
        <v>45055</v>
      </c>
    </row>
    <row r="5" spans="1:24" ht="14.4" x14ac:dyDescent="0.3">
      <c r="A5" s="1" t="s">
        <v>8</v>
      </c>
      <c r="B5" s="1">
        <v>20006</v>
      </c>
      <c r="C5" s="1" t="s">
        <v>5</v>
      </c>
      <c r="D5" s="21">
        <v>0</v>
      </c>
      <c r="E5" s="1" t="s">
        <v>6</v>
      </c>
      <c r="F5" s="21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2">
        <v>45059</v>
      </c>
    </row>
    <row r="6" spans="1:24" ht="14.4" x14ac:dyDescent="0.3">
      <c r="A6" s="1" t="s">
        <v>9</v>
      </c>
      <c r="B6" s="1">
        <v>20008</v>
      </c>
      <c r="C6" s="1" t="s">
        <v>5</v>
      </c>
      <c r="D6" s="21">
        <v>0</v>
      </c>
      <c r="E6" s="1" t="s">
        <v>6</v>
      </c>
      <c r="F6" s="21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2">
        <v>45076</v>
      </c>
    </row>
    <row r="7" spans="1:24" ht="14.4" x14ac:dyDescent="0.3">
      <c r="A7" s="1" t="s">
        <v>10</v>
      </c>
      <c r="B7" s="1">
        <v>20010</v>
      </c>
      <c r="C7" s="1" t="s">
        <v>5</v>
      </c>
      <c r="D7" s="21">
        <v>0</v>
      </c>
      <c r="E7" s="1" t="s">
        <v>6</v>
      </c>
      <c r="F7" s="21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2">
        <v>45057</v>
      </c>
    </row>
    <row r="8" spans="1:24" ht="14.4" x14ac:dyDescent="0.3">
      <c r="A8" s="1" t="s">
        <v>11</v>
      </c>
      <c r="B8" s="1">
        <v>20012</v>
      </c>
      <c r="C8" s="1" t="s">
        <v>5</v>
      </c>
      <c r="D8" s="21">
        <v>0</v>
      </c>
      <c r="E8" s="1" t="s">
        <v>6</v>
      </c>
      <c r="F8" s="21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2">
        <v>45052</v>
      </c>
    </row>
    <row r="9" spans="1:24" ht="14.4" x14ac:dyDescent="0.3">
      <c r="A9" s="1" t="s">
        <v>12</v>
      </c>
      <c r="B9" s="1">
        <v>20014</v>
      </c>
      <c r="C9" s="1" t="s">
        <v>5</v>
      </c>
      <c r="D9" s="21">
        <v>0</v>
      </c>
      <c r="E9" s="1" t="s">
        <v>6</v>
      </c>
      <c r="F9" s="21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2">
        <v>45098</v>
      </c>
    </row>
    <row r="10" spans="1:24" ht="14.4" x14ac:dyDescent="0.3">
      <c r="A10" s="1" t="s">
        <v>13</v>
      </c>
      <c r="B10" s="1">
        <v>20016</v>
      </c>
      <c r="C10" s="1" t="s">
        <v>5</v>
      </c>
      <c r="D10" s="21">
        <v>0</v>
      </c>
      <c r="E10" s="1" t="s">
        <v>6</v>
      </c>
      <c r="F10" s="21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2">
        <v>45092</v>
      </c>
    </row>
    <row r="11" spans="1:24" ht="14.4" x14ac:dyDescent="0.3">
      <c r="A11" s="1" t="s">
        <v>14</v>
      </c>
      <c r="B11" s="1">
        <v>20018</v>
      </c>
      <c r="C11" s="1" t="s">
        <v>5</v>
      </c>
      <c r="D11" s="21">
        <v>0</v>
      </c>
      <c r="E11" s="1" t="s">
        <v>6</v>
      </c>
      <c r="F11" s="21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2">
        <v>45104</v>
      </c>
    </row>
    <row r="12" spans="1:24" ht="14.4" x14ac:dyDescent="0.3">
      <c r="A12" s="1" t="s">
        <v>15</v>
      </c>
      <c r="B12" s="1">
        <v>20020</v>
      </c>
      <c r="C12" s="1" t="s">
        <v>5</v>
      </c>
      <c r="D12" s="21">
        <v>0</v>
      </c>
      <c r="E12" s="1" t="s">
        <v>6</v>
      </c>
      <c r="F12" s="21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2">
        <v>45116</v>
      </c>
    </row>
    <row r="13" spans="1:24" ht="14.4" x14ac:dyDescent="0.3">
      <c r="A13" s="1" t="s">
        <v>16</v>
      </c>
      <c r="B13" s="1">
        <v>20022</v>
      </c>
      <c r="C13" s="1" t="s">
        <v>5</v>
      </c>
      <c r="D13" s="21">
        <v>0</v>
      </c>
      <c r="E13" s="1" t="s">
        <v>6</v>
      </c>
      <c r="F13" s="21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2">
        <v>45110</v>
      </c>
    </row>
    <row r="14" spans="1:24" ht="14.4" x14ac:dyDescent="0.3">
      <c r="A14" s="1" t="s">
        <v>17</v>
      </c>
      <c r="B14" s="1">
        <v>20024</v>
      </c>
      <c r="C14" s="1" t="s">
        <v>5</v>
      </c>
      <c r="D14" s="21">
        <v>0</v>
      </c>
      <c r="E14" s="1" t="s">
        <v>6</v>
      </c>
      <c r="F14" s="21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2">
        <v>45095</v>
      </c>
    </row>
    <row r="15" spans="1:24" ht="14.4" x14ac:dyDescent="0.3">
      <c r="A15" s="1" t="s">
        <v>18</v>
      </c>
      <c r="B15" s="1">
        <v>20026</v>
      </c>
      <c r="C15" s="1" t="s">
        <v>5</v>
      </c>
      <c r="D15" s="21">
        <v>0</v>
      </c>
      <c r="E15" s="1" t="s">
        <v>6</v>
      </c>
      <c r="F15" s="21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2">
        <v>45113</v>
      </c>
    </row>
    <row r="16" spans="1:24" ht="14.4" x14ac:dyDescent="0.3">
      <c r="A16" s="1" t="s">
        <v>19</v>
      </c>
      <c r="B16" s="1">
        <v>20028</v>
      </c>
      <c r="C16" s="1" t="s">
        <v>5</v>
      </c>
      <c r="D16" s="21">
        <v>0</v>
      </c>
      <c r="E16" s="1" t="s">
        <v>6</v>
      </c>
      <c r="F16" s="21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2">
        <v>45063</v>
      </c>
    </row>
    <row r="17" spans="1:24" ht="14.4" x14ac:dyDescent="0.3">
      <c r="A17" s="1" t="s">
        <v>20</v>
      </c>
      <c r="B17" s="1">
        <v>20030</v>
      </c>
      <c r="C17" s="1" t="s">
        <v>5</v>
      </c>
      <c r="D17" s="21">
        <v>0</v>
      </c>
      <c r="E17" s="1" t="s">
        <v>6</v>
      </c>
      <c r="F17" s="21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2">
        <v>45071</v>
      </c>
    </row>
    <row r="18" spans="1:24" ht="14.4" x14ac:dyDescent="0.3">
      <c r="A18" s="1" t="s">
        <v>21</v>
      </c>
      <c r="B18" s="1">
        <v>20032</v>
      </c>
      <c r="C18" s="1" t="s">
        <v>5</v>
      </c>
      <c r="D18" s="21">
        <v>0</v>
      </c>
      <c r="E18" s="1" t="s">
        <v>6</v>
      </c>
      <c r="F18" s="21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2">
        <v>45085</v>
      </c>
    </row>
    <row r="19" spans="1:24" ht="14.4" x14ac:dyDescent="0.3">
      <c r="A19" s="1" t="s">
        <v>22</v>
      </c>
      <c r="B19" s="1">
        <v>20034</v>
      </c>
      <c r="C19" s="1" t="s">
        <v>5</v>
      </c>
      <c r="D19" s="21">
        <v>0</v>
      </c>
      <c r="E19" s="1" t="s">
        <v>6</v>
      </c>
      <c r="F19" s="21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2">
        <v>45099</v>
      </c>
    </row>
    <row r="20" spans="1:24" ht="14.4" x14ac:dyDescent="0.3">
      <c r="A20" s="1" t="s">
        <v>23</v>
      </c>
      <c r="B20" s="1">
        <v>20036</v>
      </c>
      <c r="C20" s="1" t="s">
        <v>5</v>
      </c>
      <c r="D20" s="21">
        <v>0</v>
      </c>
      <c r="E20" s="1" t="s">
        <v>6</v>
      </c>
      <c r="F20" s="21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2">
        <v>45091</v>
      </c>
    </row>
    <row r="21" spans="1:24" ht="14.4" x14ac:dyDescent="0.3">
      <c r="A21" s="1" t="s">
        <v>24</v>
      </c>
      <c r="B21" s="1">
        <v>20038</v>
      </c>
      <c r="C21" s="1" t="s">
        <v>5</v>
      </c>
      <c r="D21" s="21">
        <v>0</v>
      </c>
      <c r="E21" s="1" t="s">
        <v>6</v>
      </c>
      <c r="F21" s="21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2">
        <v>45079</v>
      </c>
    </row>
    <row r="22" spans="1:24" ht="14.4" x14ac:dyDescent="0.3">
      <c r="A22" s="1" t="s">
        <v>25</v>
      </c>
      <c r="B22" s="1">
        <v>20040</v>
      </c>
      <c r="C22" s="1" t="s">
        <v>5</v>
      </c>
      <c r="D22" s="21">
        <v>0</v>
      </c>
      <c r="E22" s="1" t="s">
        <v>6</v>
      </c>
      <c r="F22" s="21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2">
        <v>45075</v>
      </c>
    </row>
    <row r="23" spans="1:24" ht="14.4" x14ac:dyDescent="0.3">
      <c r="A23" s="1" t="s">
        <v>41</v>
      </c>
      <c r="B23" s="1">
        <v>20042</v>
      </c>
      <c r="C23" s="1" t="s">
        <v>5</v>
      </c>
      <c r="D23" s="21">
        <v>0</v>
      </c>
      <c r="E23" s="1" t="s">
        <v>6</v>
      </c>
      <c r="F23" s="21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2">
        <v>45110</v>
      </c>
    </row>
    <row r="24" spans="1:24" ht="14.4" x14ac:dyDescent="0.3">
      <c r="A24" s="1" t="s">
        <v>26</v>
      </c>
      <c r="B24" s="1">
        <v>20044</v>
      </c>
      <c r="C24" s="1" t="s">
        <v>5</v>
      </c>
      <c r="D24" s="21">
        <v>0</v>
      </c>
      <c r="E24" s="1" t="s">
        <v>6</v>
      </c>
      <c r="F24" s="21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2">
        <v>45114</v>
      </c>
    </row>
    <row r="25" spans="1:24" ht="14.4" x14ac:dyDescent="0.3">
      <c r="A25" s="1" t="s">
        <v>27</v>
      </c>
      <c r="B25" s="1">
        <v>20046</v>
      </c>
      <c r="C25" s="1" t="s">
        <v>5</v>
      </c>
      <c r="D25" s="21">
        <v>0</v>
      </c>
      <c r="E25" s="1" t="s">
        <v>6</v>
      </c>
      <c r="F25" s="21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2">
        <v>45118</v>
      </c>
    </row>
    <row r="26" spans="1:24" ht="14.4" x14ac:dyDescent="0.3">
      <c r="A26" s="1" t="s">
        <v>28</v>
      </c>
      <c r="B26" s="1">
        <v>20048</v>
      </c>
      <c r="C26" s="1" t="s">
        <v>5</v>
      </c>
      <c r="D26" s="21">
        <v>0</v>
      </c>
      <c r="E26" s="1" t="s">
        <v>6</v>
      </c>
      <c r="F26" s="21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2">
        <v>45142</v>
      </c>
    </row>
    <row r="27" spans="1:24" ht="14.4" x14ac:dyDescent="0.3">
      <c r="A27" s="1" t="s">
        <v>57</v>
      </c>
      <c r="B27" s="1">
        <v>20050</v>
      </c>
      <c r="C27" s="1" t="s">
        <v>5</v>
      </c>
      <c r="D27" s="21">
        <v>0</v>
      </c>
      <c r="E27" s="1" t="s">
        <v>6</v>
      </c>
      <c r="F27" s="21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2">
        <v>45146</v>
      </c>
    </row>
    <row r="28" spans="1:24" ht="14.4" x14ac:dyDescent="0.3">
      <c r="A28" s="1" t="s">
        <v>29</v>
      </c>
      <c r="B28" s="1">
        <v>20052</v>
      </c>
      <c r="C28" s="1" t="s">
        <v>5</v>
      </c>
      <c r="D28" s="21">
        <v>0</v>
      </c>
      <c r="E28" s="1" t="s">
        <v>6</v>
      </c>
      <c r="F28" s="21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2">
        <v>45108</v>
      </c>
    </row>
    <row r="29" spans="1:24" ht="14.4" x14ac:dyDescent="0.3">
      <c r="A29" s="1" t="s">
        <v>30</v>
      </c>
      <c r="B29" s="1">
        <v>20054</v>
      </c>
      <c r="C29" s="1" t="s">
        <v>5</v>
      </c>
      <c r="D29" s="21">
        <v>0</v>
      </c>
      <c r="E29" s="1" t="s">
        <v>6</v>
      </c>
      <c r="F29" s="21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2">
        <v>45153</v>
      </c>
    </row>
    <row r="30" spans="1:24" ht="14.4" x14ac:dyDescent="0.3">
      <c r="A30" s="1" t="s">
        <v>58</v>
      </c>
      <c r="B30" s="1">
        <v>20058</v>
      </c>
      <c r="C30" s="1" t="s">
        <v>5</v>
      </c>
      <c r="D30" s="21">
        <v>0</v>
      </c>
      <c r="E30" s="1" t="s">
        <v>6</v>
      </c>
      <c r="F30" s="21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2">
        <v>45150</v>
      </c>
    </row>
    <row r="31" spans="1:24" ht="14.4" x14ac:dyDescent="0.3">
      <c r="A31" s="1" t="s">
        <v>31</v>
      </c>
      <c r="B31" s="1">
        <v>20060</v>
      </c>
      <c r="C31" s="1" t="s">
        <v>5</v>
      </c>
      <c r="D31" s="21">
        <v>0</v>
      </c>
      <c r="E31" s="1" t="s">
        <v>6</v>
      </c>
      <c r="F31" s="21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2">
        <v>45157</v>
      </c>
    </row>
    <row r="32" spans="1:24" ht="14.4" x14ac:dyDescent="0.3">
      <c r="A32" s="1" t="s">
        <v>32</v>
      </c>
      <c r="B32" s="1">
        <v>21000</v>
      </c>
      <c r="C32" s="1" t="s">
        <v>5</v>
      </c>
      <c r="D32" s="21">
        <v>0</v>
      </c>
      <c r="E32" s="1" t="s">
        <v>6</v>
      </c>
      <c r="F32" s="21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2">
        <v>45143</v>
      </c>
    </row>
    <row r="33" spans="1:24" ht="14.4" x14ac:dyDescent="0.3">
      <c r="A33" s="1" t="s">
        <v>33</v>
      </c>
      <c r="B33" s="1">
        <v>21002</v>
      </c>
      <c r="C33" s="1" t="s">
        <v>5</v>
      </c>
      <c r="D33" s="21">
        <v>0</v>
      </c>
      <c r="E33" s="1" t="s">
        <v>6</v>
      </c>
      <c r="F33" s="21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2">
        <v>45166</v>
      </c>
    </row>
    <row r="34" spans="1:24" ht="14.4" x14ac:dyDescent="0.3">
      <c r="A34" s="1" t="s">
        <v>34</v>
      </c>
      <c r="B34" s="1">
        <v>21004</v>
      </c>
      <c r="C34" s="1" t="s">
        <v>5</v>
      </c>
      <c r="D34" s="21">
        <v>0</v>
      </c>
      <c r="E34" s="1" t="s">
        <v>6</v>
      </c>
      <c r="F34" s="21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2">
        <v>45162</v>
      </c>
    </row>
    <row r="35" spans="1:24" ht="14.4" x14ac:dyDescent="0.3">
      <c r="A35" s="1" t="s">
        <v>35</v>
      </c>
      <c r="B35" s="1">
        <v>21006</v>
      </c>
      <c r="C35" s="1" t="s">
        <v>5</v>
      </c>
      <c r="D35" s="21">
        <v>0</v>
      </c>
      <c r="E35" s="1" t="s">
        <v>6</v>
      </c>
      <c r="F35" s="21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2">
        <v>45160</v>
      </c>
    </row>
    <row r="36" spans="1:24" ht="14.4" x14ac:dyDescent="0.3">
      <c r="A36" s="1" t="s">
        <v>36</v>
      </c>
      <c r="B36" s="1">
        <v>21008</v>
      </c>
      <c r="C36" s="1" t="s">
        <v>5</v>
      </c>
      <c r="D36" s="21">
        <v>0</v>
      </c>
      <c r="E36" s="1" t="s">
        <v>6</v>
      </c>
      <c r="F36" s="21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2">
        <v>45179</v>
      </c>
    </row>
    <row r="37" spans="1:24" ht="14.4" x14ac:dyDescent="0.3">
      <c r="A37" s="1" t="s">
        <v>42</v>
      </c>
      <c r="B37" s="1">
        <v>21010</v>
      </c>
      <c r="C37" s="1" t="s">
        <v>5</v>
      </c>
      <c r="D37" s="21">
        <v>0</v>
      </c>
      <c r="E37" s="1" t="s">
        <v>6</v>
      </c>
      <c r="F37" s="21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2">
        <v>45157</v>
      </c>
    </row>
    <row r="38" spans="1:24" ht="14.4" x14ac:dyDescent="0.3">
      <c r="A38" s="1" t="s">
        <v>37</v>
      </c>
      <c r="B38" s="1">
        <v>21012</v>
      </c>
      <c r="C38" s="1" t="s">
        <v>5</v>
      </c>
      <c r="D38" s="21">
        <v>0</v>
      </c>
      <c r="E38" s="1" t="s">
        <v>6</v>
      </c>
      <c r="F38" s="21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2">
        <v>45143</v>
      </c>
    </row>
    <row r="39" spans="1:24" ht="14.4" x14ac:dyDescent="0.3">
      <c r="A39" s="1" t="s">
        <v>38</v>
      </c>
      <c r="B39" s="1">
        <v>21014</v>
      </c>
      <c r="C39" s="1" t="s">
        <v>5</v>
      </c>
      <c r="D39" s="21">
        <v>0</v>
      </c>
      <c r="E39" s="1" t="s">
        <v>6</v>
      </c>
      <c r="F39" s="21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2">
        <v>45166</v>
      </c>
    </row>
    <row r="40" spans="1:24" ht="14.4" x14ac:dyDescent="0.3">
      <c r="A40" s="1" t="s">
        <v>39</v>
      </c>
      <c r="B40" s="1">
        <v>21016</v>
      </c>
      <c r="C40" s="1" t="s">
        <v>5</v>
      </c>
      <c r="D40" s="21">
        <v>0</v>
      </c>
      <c r="E40" s="1" t="s">
        <v>6</v>
      </c>
      <c r="F40" s="21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2">
        <v>45162</v>
      </c>
    </row>
    <row r="41" spans="1:24" ht="14.4" x14ac:dyDescent="0.3">
      <c r="A41" s="1"/>
      <c r="B41" s="1"/>
      <c r="C41" s="1"/>
      <c r="D41" s="21"/>
      <c r="E41" s="1"/>
      <c r="F41" s="21"/>
      <c r="G41" s="1"/>
      <c r="H41" s="1">
        <f>SUMIF(H2:H40,"&gt;20")</f>
        <v>1473.0000000000002</v>
      </c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24"/>
    </row>
  </sheetData>
  <conditionalFormatting sqref="A1:A40">
    <cfRule type="duplicateValues" dxfId="56" priority="7"/>
  </conditionalFormatting>
  <conditionalFormatting sqref="B1:B40">
    <cfRule type="duplicateValues" dxfId="55" priority="6"/>
  </conditionalFormatting>
  <conditionalFormatting sqref="A2:X40">
    <cfRule type="colorScale" priority="4">
      <colorScale>
        <cfvo type="num" val="-1"/>
        <cfvo type="num" val="&quot;0+Sheet1!&quot;"/>
        <color rgb="FFFF0000"/>
        <color theme="9"/>
      </colorScale>
    </cfRule>
  </conditionalFormatting>
  <conditionalFormatting sqref="G2:W40">
    <cfRule type="cellIs" dxfId="54" priority="3" operator="equal">
      <formula>-1</formula>
    </cfRule>
    <cfRule type="cellIs" dxfId="53" priority="2" operator="equal">
      <formula>-1</formula>
    </cfRule>
    <cfRule type="cellIs" dxfId="52" priority="1" operator="equal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Y30"/>
  <sheetViews>
    <sheetView tabSelected="1" zoomScaleNormal="100" workbookViewId="0">
      <selection activeCell="B5" sqref="B5"/>
    </sheetView>
  </sheetViews>
  <sheetFormatPr defaultColWidth="11" defaultRowHeight="13.8" x14ac:dyDescent="0.3"/>
  <cols>
    <col min="1" max="1" width="18.5546875" style="2" bestFit="1" customWidth="1"/>
    <col min="2" max="4" width="15.44140625" style="2" customWidth="1"/>
    <col min="5" max="5" width="14" style="2" customWidth="1"/>
    <col min="6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25" s="37" customFormat="1" ht="21" x14ac:dyDescent="0.4">
      <c r="A1" s="38" t="s">
        <v>55</v>
      </c>
      <c r="B1" s="37" t="s">
        <v>164</v>
      </c>
    </row>
    <row r="2" spans="1:25" s="37" customFormat="1" ht="21" x14ac:dyDescent="0.4">
      <c r="B2" s="37" t="s">
        <v>161</v>
      </c>
    </row>
    <row r="3" spans="1:25" ht="14.4" x14ac:dyDescent="0.3">
      <c r="A3" s="1"/>
      <c r="B3" s="1"/>
      <c r="C3" s="1"/>
      <c r="D3" s="1"/>
      <c r="E3" s="1"/>
      <c r="F3" s="1"/>
      <c r="G3" s="1"/>
    </row>
    <row r="4" spans="1:25" ht="23.4" x14ac:dyDescent="0.45">
      <c r="A4" s="17" t="s">
        <v>162</v>
      </c>
      <c r="B4" s="1"/>
      <c r="C4" s="1"/>
      <c r="D4" s="1"/>
      <c r="E4" s="1"/>
      <c r="F4" s="1"/>
      <c r="G4" s="1"/>
    </row>
    <row r="5" spans="1:25" ht="14.4" x14ac:dyDescent="0.3">
      <c r="A5" s="18" t="s">
        <v>64</v>
      </c>
      <c r="B5" s="19" t="s">
        <v>79</v>
      </c>
      <c r="C5" s="20" t="s">
        <v>71</v>
      </c>
      <c r="D5" s="19" t="s">
        <v>75</v>
      </c>
      <c r="E5" s="20" t="s">
        <v>76</v>
      </c>
      <c r="F5" s="19" t="s">
        <v>77</v>
      </c>
    </row>
    <row r="6" spans="1:25" ht="14.4" x14ac:dyDescent="0.3">
      <c r="A6" s="16" t="s">
        <v>40</v>
      </c>
      <c r="B6" s="48">
        <f t="shared" ref="B6:B27" si="0">VLOOKUP(A6,data,7,FALSE)</f>
        <v>2.7</v>
      </c>
      <c r="C6" s="48">
        <f t="shared" ref="C6:C27" si="1">VLOOKUP(A6,data,14,FALSE)</f>
        <v>7.6</v>
      </c>
      <c r="D6" s="44">
        <f t="shared" ref="D6:D27" si="2">VLOOKUP(A6,data,18,FALSE)</f>
        <v>4.2</v>
      </c>
      <c r="E6" s="44">
        <f t="shared" ref="E6:E27" si="3">VLOOKUP(A6,data,20,FALSE)</f>
        <v>8.9</v>
      </c>
      <c r="F6" s="44">
        <f t="shared" ref="F6:F27" si="4">VLOOKUP(A6,data,22,FALSE)</f>
        <v>4.2</v>
      </c>
      <c r="G6" s="26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3"/>
    </row>
    <row r="7" spans="1:25" ht="14.4" x14ac:dyDescent="0.3">
      <c r="A7" s="16" t="s">
        <v>4</v>
      </c>
      <c r="B7" s="48">
        <f t="shared" si="0"/>
        <v>2.7</v>
      </c>
      <c r="C7" s="48">
        <f t="shared" si="1"/>
        <v>7.6</v>
      </c>
      <c r="D7" s="44">
        <f t="shared" si="2"/>
        <v>4.2</v>
      </c>
      <c r="E7" s="44">
        <f t="shared" si="3"/>
        <v>8.9</v>
      </c>
      <c r="F7" s="44">
        <f t="shared" si="4"/>
        <v>4.2</v>
      </c>
      <c r="G7" s="2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24"/>
    </row>
    <row r="8" spans="1:25" ht="14.4" x14ac:dyDescent="0.3">
      <c r="A8" s="16" t="s">
        <v>7</v>
      </c>
      <c r="B8" s="44">
        <f t="shared" si="0"/>
        <v>3.6</v>
      </c>
      <c r="C8" s="44">
        <f t="shared" si="1"/>
        <v>11.1</v>
      </c>
      <c r="D8" s="44">
        <f t="shared" si="2"/>
        <v>5.8</v>
      </c>
      <c r="E8" s="44">
        <f t="shared" si="3"/>
        <v>12.2</v>
      </c>
      <c r="F8" s="44">
        <f t="shared" si="4"/>
        <v>5.8</v>
      </c>
      <c r="G8" s="2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24"/>
    </row>
    <row r="9" spans="1:25" ht="14.4" x14ac:dyDescent="0.3">
      <c r="A9" s="16" t="s">
        <v>8</v>
      </c>
      <c r="B9" s="44">
        <f t="shared" si="0"/>
        <v>4.9000000000000004</v>
      </c>
      <c r="C9" s="44">
        <f t="shared" si="1"/>
        <v>13.3</v>
      </c>
      <c r="D9" s="44">
        <f t="shared" si="2"/>
        <v>8.1</v>
      </c>
      <c r="E9" s="44">
        <f t="shared" si="3"/>
        <v>17</v>
      </c>
      <c r="F9" s="44">
        <f t="shared" si="4"/>
        <v>8.1</v>
      </c>
      <c r="G9" s="2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24"/>
    </row>
    <row r="10" spans="1:25" ht="14.4" x14ac:dyDescent="0.3">
      <c r="A10" s="16" t="s">
        <v>11</v>
      </c>
      <c r="B10" s="44">
        <f t="shared" si="0"/>
        <v>9.4</v>
      </c>
      <c r="C10" s="44">
        <f t="shared" si="1"/>
        <v>28.3</v>
      </c>
      <c r="D10" s="44">
        <f t="shared" si="2"/>
        <v>16.100000000000001</v>
      </c>
      <c r="E10" s="44">
        <f t="shared" si="3"/>
        <v>32.799999999999997</v>
      </c>
      <c r="F10" s="44">
        <f t="shared" si="4"/>
        <v>16.100000000000001</v>
      </c>
      <c r="G10" s="2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24"/>
    </row>
    <row r="11" spans="1:25" ht="14.4" x14ac:dyDescent="0.3">
      <c r="A11" s="16" t="s">
        <v>12</v>
      </c>
      <c r="B11" s="44">
        <f t="shared" si="0"/>
        <v>11.6</v>
      </c>
      <c r="C11" s="44">
        <f t="shared" si="1"/>
        <v>35.200000000000003</v>
      </c>
      <c r="D11" s="44">
        <f t="shared" si="2"/>
        <v>21.3</v>
      </c>
      <c r="E11" s="44">
        <f t="shared" si="3"/>
        <v>43</v>
      </c>
      <c r="F11" s="44">
        <f t="shared" si="4"/>
        <v>21.3</v>
      </c>
      <c r="G11" s="2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24"/>
    </row>
    <row r="12" spans="1:25" ht="14.4" x14ac:dyDescent="0.3">
      <c r="A12" s="16" t="s">
        <v>14</v>
      </c>
      <c r="B12" s="44">
        <f t="shared" si="0"/>
        <v>18.399999999999999</v>
      </c>
      <c r="C12" s="44">
        <f t="shared" si="1"/>
        <v>55.6</v>
      </c>
      <c r="D12" s="44">
        <f t="shared" si="2"/>
        <v>33.799999999999997</v>
      </c>
      <c r="E12" s="44">
        <f t="shared" si="3"/>
        <v>67.900000000000006</v>
      </c>
      <c r="F12" s="44">
        <f t="shared" si="4"/>
        <v>33.799999999999997</v>
      </c>
      <c r="G12" s="2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24"/>
    </row>
    <row r="13" spans="1:25" ht="14.4" x14ac:dyDescent="0.3">
      <c r="A13" s="16" t="s">
        <v>15</v>
      </c>
      <c r="B13" s="44">
        <f t="shared" si="0"/>
        <v>0</v>
      </c>
      <c r="C13" s="44">
        <f t="shared" si="1"/>
        <v>0</v>
      </c>
      <c r="D13" s="44">
        <f t="shared" si="2"/>
        <v>0</v>
      </c>
      <c r="E13" s="44">
        <f t="shared" si="3"/>
        <v>0</v>
      </c>
      <c r="F13" s="44">
        <f t="shared" si="4"/>
        <v>0</v>
      </c>
      <c r="G13" s="2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24"/>
    </row>
    <row r="14" spans="1:25" ht="14.4" x14ac:dyDescent="0.3">
      <c r="A14" s="16" t="s">
        <v>16</v>
      </c>
      <c r="B14" s="44">
        <f t="shared" si="0"/>
        <v>21.9</v>
      </c>
      <c r="C14" s="44">
        <f t="shared" si="1"/>
        <v>61.5</v>
      </c>
      <c r="D14" s="44">
        <f t="shared" si="2"/>
        <v>40.1</v>
      </c>
      <c r="E14" s="44">
        <f t="shared" si="3"/>
        <v>76.599999999999994</v>
      </c>
      <c r="F14" s="44">
        <f t="shared" si="4"/>
        <v>40.1</v>
      </c>
      <c r="G14" s="2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24"/>
    </row>
    <row r="15" spans="1:25" ht="14.4" x14ac:dyDescent="0.3">
      <c r="A15" s="16" t="s">
        <v>18</v>
      </c>
      <c r="B15" s="44">
        <f t="shared" si="0"/>
        <v>26.8</v>
      </c>
      <c r="C15" s="44">
        <f t="shared" si="1"/>
        <v>79.599999999999994</v>
      </c>
      <c r="D15" s="44">
        <f t="shared" si="2"/>
        <v>47.9</v>
      </c>
      <c r="E15" s="44">
        <f t="shared" si="3"/>
        <v>96.8</v>
      </c>
      <c r="F15" s="44">
        <f t="shared" si="4"/>
        <v>47.9</v>
      </c>
      <c r="G15" s="2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24"/>
    </row>
    <row r="16" spans="1:25" ht="14.4" x14ac:dyDescent="0.3">
      <c r="A16" s="16" t="s">
        <v>20</v>
      </c>
      <c r="B16" s="44">
        <f t="shared" si="0"/>
        <v>28.5</v>
      </c>
      <c r="C16" s="44">
        <f t="shared" si="1"/>
        <v>85.4</v>
      </c>
      <c r="D16" s="44">
        <f t="shared" si="2"/>
        <v>52.3</v>
      </c>
      <c r="E16" s="44">
        <f t="shared" si="3"/>
        <v>106.1</v>
      </c>
      <c r="F16" s="44">
        <f t="shared" si="4"/>
        <v>52.3</v>
      </c>
      <c r="G16" s="2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24"/>
    </row>
    <row r="17" spans="1:25" ht="14.4" x14ac:dyDescent="0.3">
      <c r="A17" s="16" t="s">
        <v>22</v>
      </c>
      <c r="B17" s="44">
        <f t="shared" si="0"/>
        <v>30.7</v>
      </c>
      <c r="C17" s="44">
        <f t="shared" si="1"/>
        <v>92.1</v>
      </c>
      <c r="D17" s="44">
        <f t="shared" si="2"/>
        <v>57</v>
      </c>
      <c r="E17" s="44">
        <f t="shared" si="3"/>
        <v>115.1</v>
      </c>
      <c r="F17" s="44">
        <f t="shared" si="4"/>
        <v>57</v>
      </c>
      <c r="G17" s="2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24"/>
    </row>
    <row r="18" spans="1:25" ht="14.4" x14ac:dyDescent="0.3">
      <c r="A18" s="16" t="s">
        <v>23</v>
      </c>
      <c r="B18" s="44">
        <f t="shared" si="0"/>
        <v>33.799999999999997</v>
      </c>
      <c r="C18" s="44">
        <f t="shared" si="1"/>
        <v>101.3</v>
      </c>
      <c r="D18" s="44">
        <f t="shared" si="2"/>
        <v>61.4</v>
      </c>
      <c r="E18" s="44">
        <f t="shared" si="3"/>
        <v>124.4</v>
      </c>
      <c r="F18" s="44">
        <f t="shared" si="4"/>
        <v>61.4</v>
      </c>
      <c r="G18" s="2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24"/>
    </row>
    <row r="19" spans="1:25" ht="14.4" x14ac:dyDescent="0.3">
      <c r="A19" s="16" t="s">
        <v>24</v>
      </c>
      <c r="B19" s="44">
        <f t="shared" si="0"/>
        <v>34.700000000000003</v>
      </c>
      <c r="C19" s="44">
        <f t="shared" si="1"/>
        <v>106.1</v>
      </c>
      <c r="D19" s="44">
        <f t="shared" si="2"/>
        <v>63.6</v>
      </c>
      <c r="E19" s="44">
        <f t="shared" si="3"/>
        <v>128.6</v>
      </c>
      <c r="F19" s="44">
        <f t="shared" si="4"/>
        <v>63.6</v>
      </c>
      <c r="G19" s="2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24"/>
    </row>
    <row r="20" spans="1:25" ht="14.4" x14ac:dyDescent="0.3">
      <c r="A20" s="16" t="s">
        <v>28</v>
      </c>
      <c r="B20" s="44">
        <f t="shared" si="0"/>
        <v>0</v>
      </c>
      <c r="C20" s="44">
        <f t="shared" si="1"/>
        <v>0</v>
      </c>
      <c r="D20" s="44">
        <f t="shared" si="2"/>
        <v>0</v>
      </c>
      <c r="E20" s="44">
        <f t="shared" si="3"/>
        <v>0</v>
      </c>
      <c r="F20" s="44">
        <f t="shared" si="4"/>
        <v>0</v>
      </c>
      <c r="G20" s="2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24"/>
    </row>
    <row r="21" spans="1:25" ht="14.4" x14ac:dyDescent="0.3">
      <c r="A21" s="16" t="s">
        <v>57</v>
      </c>
      <c r="B21" s="44">
        <f t="shared" si="0"/>
        <v>41.3</v>
      </c>
      <c r="C21" s="44">
        <f t="shared" si="1"/>
        <v>124.4</v>
      </c>
      <c r="D21" s="44">
        <f t="shared" si="2"/>
        <v>75</v>
      </c>
      <c r="E21" s="44">
        <f t="shared" si="3"/>
        <v>151.5</v>
      </c>
      <c r="F21" s="44">
        <f t="shared" si="4"/>
        <v>75</v>
      </c>
      <c r="G21" s="2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24"/>
    </row>
    <row r="22" spans="1:25" ht="14.4" x14ac:dyDescent="0.3">
      <c r="A22" s="16" t="s">
        <v>58</v>
      </c>
      <c r="B22" s="44">
        <f t="shared" si="0"/>
        <v>-1</v>
      </c>
      <c r="C22" s="44">
        <f t="shared" si="1"/>
        <v>-1</v>
      </c>
      <c r="D22" s="44">
        <f t="shared" si="2"/>
        <v>-1</v>
      </c>
      <c r="E22" s="44">
        <f t="shared" si="3"/>
        <v>-1</v>
      </c>
      <c r="F22" s="44">
        <f t="shared" si="4"/>
        <v>-1</v>
      </c>
      <c r="G22" s="2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24"/>
    </row>
    <row r="23" spans="1:25" ht="14.4" x14ac:dyDescent="0.3">
      <c r="A23" s="16" t="s">
        <v>31</v>
      </c>
      <c r="B23" s="44">
        <f t="shared" si="0"/>
        <v>45</v>
      </c>
      <c r="C23" s="44">
        <f t="shared" si="1"/>
        <v>133.4</v>
      </c>
      <c r="D23" s="44">
        <f t="shared" si="2"/>
        <v>79.400000000000006</v>
      </c>
      <c r="E23" s="44">
        <f t="shared" si="3"/>
        <v>160.9</v>
      </c>
      <c r="F23" s="44">
        <f t="shared" si="4"/>
        <v>79.400000000000006</v>
      </c>
      <c r="G23" s="2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24"/>
    </row>
    <row r="24" spans="1:25" ht="14.4" x14ac:dyDescent="0.3">
      <c r="A24" s="16" t="s">
        <v>32</v>
      </c>
      <c r="B24" s="44">
        <f t="shared" si="0"/>
        <v>-1</v>
      </c>
      <c r="C24" s="44">
        <f t="shared" si="1"/>
        <v>-1</v>
      </c>
      <c r="D24" s="44">
        <f t="shared" si="2"/>
        <v>-1</v>
      </c>
      <c r="E24" s="44">
        <f t="shared" si="3"/>
        <v>-1</v>
      </c>
      <c r="F24" s="44">
        <f t="shared" si="4"/>
        <v>-1</v>
      </c>
      <c r="G24" s="2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24"/>
    </row>
    <row r="25" spans="1:25" ht="14.4" x14ac:dyDescent="0.3">
      <c r="A25" s="16" t="s">
        <v>34</v>
      </c>
      <c r="B25" s="44">
        <f t="shared" si="0"/>
        <v>43.3</v>
      </c>
      <c r="C25" s="44">
        <f t="shared" si="1"/>
        <v>128.6</v>
      </c>
      <c r="D25" s="44">
        <f t="shared" si="2"/>
        <v>79.400000000000006</v>
      </c>
      <c r="E25" s="44">
        <f t="shared" si="3"/>
        <v>160.9</v>
      </c>
      <c r="F25" s="44">
        <f t="shared" si="4"/>
        <v>79.400000000000006</v>
      </c>
      <c r="G25" s="2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24"/>
    </row>
    <row r="26" spans="1:25" ht="14.4" x14ac:dyDescent="0.3">
      <c r="A26" s="16" t="s">
        <v>37</v>
      </c>
      <c r="B26" s="44">
        <f t="shared" si="0"/>
        <v>49.1</v>
      </c>
      <c r="C26" s="44">
        <f t="shared" si="1"/>
        <v>146.80000000000001</v>
      </c>
      <c r="D26" s="44">
        <f t="shared" si="2"/>
        <v>90.9</v>
      </c>
      <c r="E26" s="44">
        <f t="shared" si="3"/>
        <v>183.5</v>
      </c>
      <c r="F26" s="44">
        <f t="shared" si="4"/>
        <v>90.9</v>
      </c>
      <c r="G26" s="2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24"/>
    </row>
    <row r="27" spans="1:25" ht="14.4" x14ac:dyDescent="0.3">
      <c r="A27" s="16" t="s">
        <v>39</v>
      </c>
      <c r="B27" s="44">
        <f t="shared" si="0"/>
        <v>51.8</v>
      </c>
      <c r="C27" s="44">
        <f t="shared" si="1"/>
        <v>156.4</v>
      </c>
      <c r="D27" s="44">
        <f t="shared" si="2"/>
        <v>93.1</v>
      </c>
      <c r="E27" s="44">
        <f t="shared" si="3"/>
        <v>188.1</v>
      </c>
      <c r="F27" s="44">
        <f t="shared" si="4"/>
        <v>93.1</v>
      </c>
      <c r="G27" s="2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24"/>
    </row>
    <row r="28" spans="1:25" ht="14.4" x14ac:dyDescent="0.3">
      <c r="A28" s="43" t="s">
        <v>82</v>
      </c>
      <c r="B28" s="45">
        <f>MIN(B6:B27)</f>
        <v>-1</v>
      </c>
      <c r="C28" s="45">
        <f t="shared" ref="C28:F28" si="5">MIN(C6:C27)</f>
        <v>-1</v>
      </c>
      <c r="D28" s="45">
        <f t="shared" si="5"/>
        <v>-1</v>
      </c>
      <c r="E28" s="45">
        <f t="shared" si="5"/>
        <v>-1</v>
      </c>
      <c r="F28" s="45">
        <f t="shared" si="5"/>
        <v>-1</v>
      </c>
      <c r="G28" s="2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24"/>
    </row>
    <row r="29" spans="1:25" ht="14.4" x14ac:dyDescent="0.3">
      <c r="A29" s="18" t="s">
        <v>83</v>
      </c>
      <c r="B29" s="46">
        <f>MAX(B6:B27)</f>
        <v>51.8</v>
      </c>
      <c r="C29" s="46">
        <f t="shared" ref="C29:F29" si="6">MAX(C6:C27)</f>
        <v>156.4</v>
      </c>
      <c r="D29" s="46">
        <f t="shared" si="6"/>
        <v>93.1</v>
      </c>
      <c r="E29" s="46">
        <f t="shared" si="6"/>
        <v>188.1</v>
      </c>
      <c r="F29" s="46">
        <f t="shared" si="6"/>
        <v>93.1</v>
      </c>
    </row>
    <row r="30" spans="1:25" ht="14.4" x14ac:dyDescent="0.3">
      <c r="A30" s="18" t="s">
        <v>84</v>
      </c>
      <c r="B30" s="47">
        <f>AVERAGE(B6:B29)</f>
        <v>21.208333333333336</v>
      </c>
      <c r="C30" s="47">
        <f t="shared" ref="C30:F30" si="7">AVERAGE(C6:C29)</f>
        <v>63.654166666666669</v>
      </c>
      <c r="D30" s="47">
        <f t="shared" si="7"/>
        <v>38.487500000000004</v>
      </c>
      <c r="E30" s="47">
        <f t="shared" si="7"/>
        <v>77.845833333333331</v>
      </c>
      <c r="F30" s="47">
        <f t="shared" si="7"/>
        <v>38.487500000000004</v>
      </c>
    </row>
  </sheetData>
  <conditionalFormatting sqref="B6:B27">
    <cfRule type="duplicateValues" dxfId="1" priority="2"/>
  </conditionalFormatting>
  <conditionalFormatting sqref="C6:C27">
    <cfRule type="duplicateValues" dxfId="0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abSelected="1" topLeftCell="A37" zoomScaleNormal="100" workbookViewId="0">
      <selection activeCell="B5" sqref="B5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37" customFormat="1" ht="21" x14ac:dyDescent="0.4">
      <c r="A1" s="38" t="s">
        <v>56</v>
      </c>
      <c r="B1" s="37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39" t="s">
        <v>53</v>
      </c>
      <c r="B5" s="36" t="s">
        <v>179</v>
      </c>
    </row>
    <row r="6" spans="1:10" ht="18" x14ac:dyDescent="0.35">
      <c r="A6" s="39" t="s">
        <v>153</v>
      </c>
      <c r="B6" s="36" t="s">
        <v>180</v>
      </c>
    </row>
    <row r="7" spans="1:10" ht="18" x14ac:dyDescent="0.35">
      <c r="A7" s="39"/>
      <c r="B7" s="36"/>
    </row>
    <row r="9" spans="1:10" ht="23.4" x14ac:dyDescent="0.45">
      <c r="A9" s="17" t="s">
        <v>165</v>
      </c>
      <c r="I9" s="2"/>
      <c r="J9" s="2"/>
    </row>
    <row r="10" spans="1:10" x14ac:dyDescent="0.3">
      <c r="A10" s="30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">
      <c r="A11" s="8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7" t="s">
        <v>162</v>
      </c>
    </row>
    <row r="15" spans="1:10" x14ac:dyDescent="0.3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">
      <c r="A16" s="7" t="s">
        <v>121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3">
      <c r="A17" s="7" t="s">
        <v>122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3">
      <c r="A18" s="7" t="s">
        <v>123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">
      <c r="A19" s="7" t="s">
        <v>124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">
      <c r="A20" s="7" t="s">
        <v>125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">
      <c r="A21" s="7" t="s">
        <v>126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">
      <c r="A22" s="7" t="s">
        <v>127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">
      <c r="A23" s="7" t="s">
        <v>128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">
      <c r="A24" s="7" t="s">
        <v>129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">
      <c r="A25" s="7" t="s">
        <v>130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">
      <c r="A26" s="7" t="s">
        <v>131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">
      <c r="A27" s="7" t="s">
        <v>132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">
      <c r="A28" s="7" t="s">
        <v>133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">
      <c r="A29" s="7" t="s">
        <v>134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">
      <c r="A30" s="7" t="s">
        <v>135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">
      <c r="A31" s="7" t="s">
        <v>136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">
      <c r="A32" s="7" t="s">
        <v>137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">
      <c r="A33" s="7" t="s">
        <v>138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">
      <c r="A34" s="7" t="s">
        <v>139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">
      <c r="A35" s="7" t="s">
        <v>140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">
      <c r="A36" s="7" t="s">
        <v>141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">
      <c r="A37" s="7" t="s">
        <v>142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">
      <c r="A38" s="7" t="s">
        <v>143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">
      <c r="A39" s="7" t="s">
        <v>144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">
      <c r="A40" s="7" t="s">
        <v>145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">
      <c r="A41" s="7" t="s">
        <v>146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">
      <c r="A42" s="7" t="s">
        <v>147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">
      <c r="A43" s="7" t="s">
        <v>148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">
      <c r="A44" s="7" t="s">
        <v>149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">
      <c r="A45" s="7" t="s">
        <v>150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">
      <c r="A46" s="7" t="s">
        <v>112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">
      <c r="A47" s="7" t="s">
        <v>113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">
      <c r="A48" s="7" t="s">
        <v>114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">
      <c r="A49" s="7" t="s">
        <v>115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">
      <c r="A50" s="7" t="s">
        <v>116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">
      <c r="A51" s="7" t="s">
        <v>117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">
      <c r="A52" s="7" t="s">
        <v>118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">
      <c r="A53" s="7" t="s">
        <v>119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">
      <c r="A54" s="8" t="s">
        <v>120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abSelected="1" zoomScaleNormal="100" workbookViewId="0">
      <selection activeCell="B5" sqref="B5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38" t="s">
        <v>85</v>
      </c>
      <c r="B1" s="37" t="s">
        <v>167</v>
      </c>
    </row>
    <row r="2" spans="1:3" ht="18" x14ac:dyDescent="0.35">
      <c r="B2" s="36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" t="s">
        <v>178</v>
      </c>
    </row>
    <row r="7" spans="1:3" ht="14.4" x14ac:dyDescent="0.3">
      <c r="A7" s="3" t="s">
        <v>153</v>
      </c>
      <c r="B7" s="1" t="s">
        <v>177</v>
      </c>
    </row>
    <row r="10" spans="1:3" ht="23.4" x14ac:dyDescent="0.45">
      <c r="A10" s="17" t="s">
        <v>162</v>
      </c>
    </row>
    <row r="11" spans="1:3" ht="14.4" x14ac:dyDescent="0.3">
      <c r="A11" s="29" t="s">
        <v>86</v>
      </c>
      <c r="B11" s="16" t="s">
        <v>87</v>
      </c>
      <c r="C11" s="16" t="s">
        <v>88</v>
      </c>
    </row>
    <row r="12" spans="1:3" ht="14.4" x14ac:dyDescent="0.3">
      <c r="A12" s="29">
        <v>44927</v>
      </c>
      <c r="B12" s="16" t="s">
        <v>59</v>
      </c>
      <c r="C12" s="16">
        <v>200</v>
      </c>
    </row>
    <row r="13" spans="1:3" ht="14.4" x14ac:dyDescent="0.3">
      <c r="A13" s="29">
        <v>44928</v>
      </c>
      <c r="B13" s="16" t="s">
        <v>60</v>
      </c>
      <c r="C13" s="16">
        <v>20</v>
      </c>
    </row>
    <row r="14" spans="1:3" ht="14.4" x14ac:dyDescent="0.3">
      <c r="A14" s="29">
        <v>44929</v>
      </c>
      <c r="B14" s="16" t="s">
        <v>61</v>
      </c>
      <c r="C14" s="16">
        <v>50</v>
      </c>
    </row>
    <row r="15" spans="1:3" ht="14.4" x14ac:dyDescent="0.3">
      <c r="A15" s="29">
        <v>44930</v>
      </c>
      <c r="B15" s="16" t="s">
        <v>62</v>
      </c>
      <c r="C15" s="16">
        <v>20</v>
      </c>
    </row>
    <row r="16" spans="1:3" ht="14.4" x14ac:dyDescent="0.3">
      <c r="A16" s="29">
        <v>44931</v>
      </c>
      <c r="B16" s="16" t="s">
        <v>63</v>
      </c>
      <c r="C16" s="16">
        <v>10</v>
      </c>
    </row>
    <row r="17" spans="1:3" ht="14.4" x14ac:dyDescent="0.3">
      <c r="A17" s="29">
        <v>44932</v>
      </c>
      <c r="B17" s="16" t="s">
        <v>154</v>
      </c>
      <c r="C17" s="16">
        <v>150</v>
      </c>
    </row>
    <row r="18" spans="1:3" ht="14.4" x14ac:dyDescent="0.3">
      <c r="A18" s="29">
        <v>44933</v>
      </c>
      <c r="B18" s="16" t="s">
        <v>155</v>
      </c>
      <c r="C18" s="16">
        <v>80</v>
      </c>
    </row>
    <row r="19" spans="1:3" ht="14.4" x14ac:dyDescent="0.3">
      <c r="A19" s="29">
        <v>44934</v>
      </c>
      <c r="B19" s="16" t="s">
        <v>156</v>
      </c>
      <c r="C19" s="16">
        <v>20</v>
      </c>
    </row>
    <row r="20" spans="1:3" ht="14.4" x14ac:dyDescent="0.3">
      <c r="A20" s="29">
        <v>44935</v>
      </c>
      <c r="B20" s="16" t="s">
        <v>157</v>
      </c>
      <c r="C20" s="16">
        <v>30</v>
      </c>
    </row>
    <row r="21" spans="1:3" ht="14.4" x14ac:dyDescent="0.3">
      <c r="A21" s="29">
        <v>44936</v>
      </c>
      <c r="B21" s="16" t="s">
        <v>158</v>
      </c>
      <c r="C21" s="16">
        <v>20</v>
      </c>
    </row>
    <row r="22" spans="1:3" ht="14.4" x14ac:dyDescent="0.3">
      <c r="B22" s="16" t="s">
        <v>159</v>
      </c>
      <c r="C22" s="22">
        <f>SUM(C12:C21)</f>
        <v>600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B5" sqref="B5"/>
    </sheetView>
  </sheetViews>
  <sheetFormatPr defaultColWidth="11" defaultRowHeight="13.8" x14ac:dyDescent="0.3"/>
  <cols>
    <col min="1" max="1" width="28.21875" style="2" bestFit="1" customWidth="1"/>
    <col min="2" max="2" width="11" style="2"/>
    <col min="3" max="3" width="10.33203125" style="2" customWidth="1"/>
    <col min="4" max="16384" width="11" style="2"/>
  </cols>
  <sheetData>
    <row r="1" spans="1:14" ht="21" x14ac:dyDescent="0.4">
      <c r="A1" s="38" t="s">
        <v>98</v>
      </c>
      <c r="B1" s="37" t="s">
        <v>175</v>
      </c>
    </row>
    <row r="3" spans="1:14" ht="14.4" x14ac:dyDescent="0.3">
      <c r="B3" s="1" t="s">
        <v>151</v>
      </c>
    </row>
    <row r="4" spans="1:14" ht="18" x14ac:dyDescent="0.35">
      <c r="A4" s="39" t="s">
        <v>53</v>
      </c>
      <c r="B4" s="1" t="s">
        <v>181</v>
      </c>
    </row>
    <row r="5" spans="1:14" ht="18" x14ac:dyDescent="0.35">
      <c r="A5" s="39" t="s">
        <v>153</v>
      </c>
      <c r="B5" s="1" t="s">
        <v>182</v>
      </c>
    </row>
    <row r="6" spans="1:14" ht="14.4" x14ac:dyDescent="0.3">
      <c r="A6" s="3"/>
      <c r="B6" s="1"/>
    </row>
    <row r="8" spans="1:14" ht="23.4" x14ac:dyDescent="0.45">
      <c r="A8" s="17" t="s">
        <v>162</v>
      </c>
      <c r="M8" s="17" t="s">
        <v>163</v>
      </c>
    </row>
    <row r="9" spans="1:14" ht="14.4" x14ac:dyDescent="0.3">
      <c r="A9" s="23"/>
      <c r="B9" s="23" t="s">
        <v>89</v>
      </c>
      <c r="C9" s="23" t="s">
        <v>90</v>
      </c>
      <c r="D9" s="23" t="s">
        <v>91</v>
      </c>
      <c r="E9" s="23" t="s">
        <v>92</v>
      </c>
      <c r="F9" s="23" t="s">
        <v>93</v>
      </c>
      <c r="G9" s="23" t="s">
        <v>94</v>
      </c>
      <c r="H9" s="23" t="s">
        <v>95</v>
      </c>
      <c r="I9" s="23" t="s">
        <v>96</v>
      </c>
      <c r="J9" s="23" t="s">
        <v>97</v>
      </c>
      <c r="M9" s="18" t="s">
        <v>43</v>
      </c>
      <c r="N9" s="18" t="s">
        <v>99</v>
      </c>
    </row>
    <row r="10" spans="1:14" ht="14.4" x14ac:dyDescent="0.3">
      <c r="A10" s="23" t="s">
        <v>89</v>
      </c>
      <c r="B10" s="22">
        <v>-1</v>
      </c>
      <c r="C10" s="22">
        <v>95</v>
      </c>
      <c r="D10" s="22">
        <v>-1</v>
      </c>
      <c r="E10" s="22">
        <v>185</v>
      </c>
      <c r="F10" s="22">
        <v>255</v>
      </c>
      <c r="G10" s="22">
        <v>305</v>
      </c>
      <c r="H10" s="22">
        <v>415</v>
      </c>
      <c r="I10" s="22">
        <v>480</v>
      </c>
      <c r="J10" s="22">
        <v>525</v>
      </c>
      <c r="M10" s="11">
        <v>10100</v>
      </c>
      <c r="N10" s="11" t="s">
        <v>89</v>
      </c>
    </row>
    <row r="11" spans="1:14" ht="14.4" x14ac:dyDescent="0.3">
      <c r="A11" s="23" t="s">
        <v>90</v>
      </c>
      <c r="B11" s="22">
        <v>95</v>
      </c>
      <c r="C11" s="22">
        <v>-1</v>
      </c>
      <c r="D11" s="22">
        <v>-1</v>
      </c>
      <c r="E11" s="22">
        <v>90</v>
      </c>
      <c r="F11" s="22">
        <v>160</v>
      </c>
      <c r="G11" s="22">
        <v>210</v>
      </c>
      <c r="H11" s="22">
        <v>325</v>
      </c>
      <c r="I11" s="22">
        <v>390</v>
      </c>
      <c r="J11" s="22">
        <v>430</v>
      </c>
      <c r="M11" s="11">
        <v>10102</v>
      </c>
      <c r="N11" s="11" t="s">
        <v>90</v>
      </c>
    </row>
    <row r="12" spans="1:14" ht="14.4" x14ac:dyDescent="0.3">
      <c r="A12" s="23" t="s">
        <v>91</v>
      </c>
      <c r="B12" s="22">
        <v>-1</v>
      </c>
      <c r="C12" s="22">
        <v>-1</v>
      </c>
      <c r="D12" s="22">
        <v>-1</v>
      </c>
      <c r="E12" s="22">
        <v>60</v>
      </c>
      <c r="F12" s="22">
        <v>130</v>
      </c>
      <c r="G12" s="22">
        <v>180</v>
      </c>
      <c r="H12" s="22">
        <v>295</v>
      </c>
      <c r="I12" s="22">
        <v>355</v>
      </c>
      <c r="J12" s="22">
        <v>400</v>
      </c>
      <c r="M12" s="11">
        <v>10104</v>
      </c>
      <c r="N12" s="11" t="s">
        <v>91</v>
      </c>
    </row>
    <row r="13" spans="1:14" ht="14.4" x14ac:dyDescent="0.3">
      <c r="A13" s="23" t="s">
        <v>92</v>
      </c>
      <c r="B13" s="22">
        <v>185</v>
      </c>
      <c r="C13" s="22">
        <v>90</v>
      </c>
      <c r="D13" s="22">
        <v>60</v>
      </c>
      <c r="E13" s="22">
        <v>-1</v>
      </c>
      <c r="F13" s="22">
        <v>70</v>
      </c>
      <c r="G13" s="22">
        <v>120</v>
      </c>
      <c r="H13" s="22">
        <v>235</v>
      </c>
      <c r="I13" s="22">
        <v>300</v>
      </c>
      <c r="J13" s="22">
        <v>340</v>
      </c>
      <c r="M13" s="11">
        <v>10106</v>
      </c>
      <c r="N13" s="11" t="s">
        <v>92</v>
      </c>
    </row>
    <row r="14" spans="1:14" ht="14.4" x14ac:dyDescent="0.3">
      <c r="A14" s="23" t="s">
        <v>93</v>
      </c>
      <c r="B14" s="22">
        <v>255</v>
      </c>
      <c r="C14" s="22">
        <v>160</v>
      </c>
      <c r="D14" s="22">
        <v>130</v>
      </c>
      <c r="E14" s="22">
        <v>70</v>
      </c>
      <c r="F14" s="22">
        <v>-1</v>
      </c>
      <c r="G14" s="22">
        <v>50</v>
      </c>
      <c r="H14" s="22">
        <v>165</v>
      </c>
      <c r="I14" s="22">
        <v>230</v>
      </c>
      <c r="J14" s="22">
        <v>270</v>
      </c>
      <c r="M14" s="11">
        <v>10108</v>
      </c>
      <c r="N14" s="11" t="s">
        <v>93</v>
      </c>
    </row>
    <row r="15" spans="1:14" ht="14.4" x14ac:dyDescent="0.3">
      <c r="A15" s="23" t="s">
        <v>94</v>
      </c>
      <c r="B15" s="22">
        <v>305</v>
      </c>
      <c r="C15" s="22">
        <v>210</v>
      </c>
      <c r="D15" s="22">
        <v>180</v>
      </c>
      <c r="E15" s="22">
        <v>120</v>
      </c>
      <c r="F15" s="22">
        <v>50</v>
      </c>
      <c r="G15" s="22">
        <v>-1</v>
      </c>
      <c r="H15" s="22">
        <v>115</v>
      </c>
      <c r="I15" s="22">
        <v>180</v>
      </c>
      <c r="J15" s="22">
        <v>220</v>
      </c>
      <c r="M15" s="11">
        <v>10110</v>
      </c>
      <c r="N15" s="11" t="s">
        <v>94</v>
      </c>
    </row>
    <row r="16" spans="1:14" ht="14.4" x14ac:dyDescent="0.3">
      <c r="A16" s="23" t="s">
        <v>95</v>
      </c>
      <c r="B16" s="22">
        <v>415</v>
      </c>
      <c r="C16" s="22">
        <v>325</v>
      </c>
      <c r="D16" s="22">
        <v>295</v>
      </c>
      <c r="E16" s="22">
        <v>235</v>
      </c>
      <c r="F16" s="22">
        <v>165</v>
      </c>
      <c r="G16" s="22">
        <v>115</v>
      </c>
      <c r="H16" s="22">
        <v>-1</v>
      </c>
      <c r="I16" s="22">
        <v>65</v>
      </c>
      <c r="J16" s="22">
        <v>105</v>
      </c>
      <c r="M16" s="11">
        <v>10112</v>
      </c>
      <c r="N16" s="11" t="s">
        <v>95</v>
      </c>
    </row>
    <row r="17" spans="1:14" ht="14.4" x14ac:dyDescent="0.3">
      <c r="A17" s="23" t="s">
        <v>96</v>
      </c>
      <c r="B17" s="22">
        <v>480</v>
      </c>
      <c r="C17" s="22">
        <v>390</v>
      </c>
      <c r="D17" s="22">
        <v>355</v>
      </c>
      <c r="E17" s="22">
        <v>300</v>
      </c>
      <c r="F17" s="22">
        <v>230</v>
      </c>
      <c r="G17" s="22">
        <v>180</v>
      </c>
      <c r="H17" s="22">
        <v>65</v>
      </c>
      <c r="I17" s="22">
        <v>-1</v>
      </c>
      <c r="J17" s="22">
        <v>40</v>
      </c>
      <c r="M17" s="11">
        <v>10114</v>
      </c>
      <c r="N17" s="11" t="s">
        <v>96</v>
      </c>
    </row>
    <row r="18" spans="1:14" ht="14.4" x14ac:dyDescent="0.3">
      <c r="A18" s="23" t="s">
        <v>97</v>
      </c>
      <c r="B18" s="22">
        <v>525</v>
      </c>
      <c r="C18" s="22">
        <v>430</v>
      </c>
      <c r="D18" s="22">
        <v>400</v>
      </c>
      <c r="E18" s="22">
        <v>340</v>
      </c>
      <c r="F18" s="22">
        <v>270</v>
      </c>
      <c r="G18" s="22">
        <v>220</v>
      </c>
      <c r="H18" s="22">
        <v>105</v>
      </c>
      <c r="I18" s="22">
        <v>40</v>
      </c>
      <c r="J18" s="22">
        <v>-1</v>
      </c>
      <c r="M18" s="12">
        <v>10116</v>
      </c>
      <c r="N18" s="12" t="s">
        <v>97</v>
      </c>
    </row>
    <row r="21" spans="1:14" ht="23.4" x14ac:dyDescent="0.45">
      <c r="A21" s="17" t="s">
        <v>168</v>
      </c>
    </row>
    <row r="22" spans="1:14" ht="14.4" x14ac:dyDescent="0.3">
      <c r="A22" s="13" t="s">
        <v>100</v>
      </c>
      <c r="B22" s="16" t="s">
        <v>101</v>
      </c>
      <c r="C22" s="15" t="s">
        <v>102</v>
      </c>
    </row>
    <row r="23" spans="1:14" ht="14.4" x14ac:dyDescent="0.3">
      <c r="A23" s="7">
        <v>10100</v>
      </c>
      <c r="B23" s="11">
        <v>10102</v>
      </c>
      <c r="C23" s="40">
        <f>INDEX($A$9:$I$18, MATCH(VLOOKUP(A23, $M$9:$N$18, 2, FALSE), $A$9:$A$18, 0), MATCH(VLOOKUP(B23, $M$9:$N$18, 2, FALSE), $A$9:$I$9, 0))</f>
        <v>95</v>
      </c>
    </row>
    <row r="24" spans="1:14" ht="14.4" x14ac:dyDescent="0.3">
      <c r="A24" s="7">
        <v>10100</v>
      </c>
      <c r="B24" s="11">
        <v>10104</v>
      </c>
      <c r="C24" s="40">
        <f t="shared" ref="C24:C34" si="0">INDEX($A$9:$I$18, MATCH(VLOOKUP(A24, $M$9:$N$18, 2, FALSE), $A$9:$A$18, 0), MATCH(VLOOKUP(B24, $M$9:$N$18, 2, FALSE), $A$9:$I$9, 0))</f>
        <v>-1</v>
      </c>
    </row>
    <row r="25" spans="1:14" ht="14.4" x14ac:dyDescent="0.3">
      <c r="A25" s="7">
        <v>10108</v>
      </c>
      <c r="B25" s="11">
        <v>10102</v>
      </c>
      <c r="C25" s="40">
        <f t="shared" si="0"/>
        <v>160</v>
      </c>
    </row>
    <row r="26" spans="1:14" ht="14.4" x14ac:dyDescent="0.3">
      <c r="A26" s="7">
        <v>10100</v>
      </c>
      <c r="B26" s="11">
        <v>10106</v>
      </c>
      <c r="C26" s="40">
        <f t="shared" si="0"/>
        <v>185</v>
      </c>
    </row>
    <row r="27" spans="1:14" ht="14.4" x14ac:dyDescent="0.3">
      <c r="A27" s="7">
        <v>10108</v>
      </c>
      <c r="B27" s="11">
        <v>10110</v>
      </c>
      <c r="C27" s="40">
        <f t="shared" si="0"/>
        <v>50</v>
      </c>
    </row>
    <row r="28" spans="1:14" ht="14.4" x14ac:dyDescent="0.3">
      <c r="A28" s="7">
        <v>10102</v>
      </c>
      <c r="B28" s="11">
        <v>10104</v>
      </c>
      <c r="C28" s="40">
        <f t="shared" si="0"/>
        <v>-1</v>
      </c>
    </row>
    <row r="29" spans="1:14" ht="14.4" x14ac:dyDescent="0.3">
      <c r="A29" s="7">
        <v>10106</v>
      </c>
      <c r="B29" s="11">
        <v>10108</v>
      </c>
      <c r="C29" s="40">
        <f t="shared" si="0"/>
        <v>70</v>
      </c>
    </row>
    <row r="30" spans="1:14" ht="14.4" x14ac:dyDescent="0.3">
      <c r="A30" s="7">
        <v>10102</v>
      </c>
      <c r="B30" s="11">
        <v>10106</v>
      </c>
      <c r="C30" s="40">
        <f t="shared" si="0"/>
        <v>90</v>
      </c>
    </row>
    <row r="31" spans="1:14" ht="14.4" x14ac:dyDescent="0.3">
      <c r="A31" s="7">
        <v>10110</v>
      </c>
      <c r="B31" s="11">
        <v>10114</v>
      </c>
      <c r="C31" s="40">
        <f t="shared" si="0"/>
        <v>180</v>
      </c>
    </row>
    <row r="32" spans="1:14" ht="14.4" x14ac:dyDescent="0.3">
      <c r="A32" s="7">
        <v>10104</v>
      </c>
      <c r="B32" s="11">
        <v>10106</v>
      </c>
      <c r="C32" s="40">
        <f t="shared" si="0"/>
        <v>60</v>
      </c>
    </row>
    <row r="33" spans="1:6" ht="14.4" x14ac:dyDescent="0.3">
      <c r="A33" s="7">
        <v>10110</v>
      </c>
      <c r="B33" s="11">
        <v>10112</v>
      </c>
      <c r="C33" s="40">
        <f t="shared" si="0"/>
        <v>115</v>
      </c>
      <c r="F33" s="49"/>
    </row>
    <row r="34" spans="1:6" ht="14.4" x14ac:dyDescent="0.3">
      <c r="A34" s="7">
        <v>10100</v>
      </c>
      <c r="B34" s="11">
        <v>10114</v>
      </c>
      <c r="C34" s="40">
        <f t="shared" si="0"/>
        <v>480</v>
      </c>
      <c r="F34" s="49"/>
    </row>
    <row r="35" spans="1:6" ht="14.4" x14ac:dyDescent="0.3">
      <c r="A35" s="8">
        <v>10112</v>
      </c>
      <c r="B35" s="8">
        <v>10116</v>
      </c>
      <c r="C35" s="50"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Instructions</vt:lpstr>
      <vt:lpstr>Dataset</vt:lpstr>
      <vt:lpstr>Task_1</vt:lpstr>
      <vt:lpstr>Task1_result</vt:lpstr>
      <vt:lpstr>Task_2</vt:lpstr>
      <vt:lpstr>Task_3</vt:lpstr>
      <vt:lpstr>Task_4</vt:lpstr>
      <vt:lpstr>Task_5</vt:lpstr>
      <vt:lpstr>Task_2!Criteria</vt:lpstr>
      <vt:lpstr>data</vt:lpstr>
      <vt:lpstr>data_a</vt:lpstr>
      <vt:lpstr>data1</vt:lpstr>
      <vt:lpstr>Task_2!Extract</vt:lpstr>
      <vt:lpstr>table_a</vt:lpstr>
      <vt:lpstr>table_b</vt:lpstr>
      <vt:lpstr>tables1</vt:lpstr>
      <vt:lpstr>tables2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Abhishek Mishra</cp:lastModifiedBy>
  <dcterms:created xsi:type="dcterms:W3CDTF">2015-02-10T17:33:11Z</dcterms:created>
  <dcterms:modified xsi:type="dcterms:W3CDTF">2023-12-10T09:00:28Z</dcterms:modified>
</cp:coreProperties>
</file>