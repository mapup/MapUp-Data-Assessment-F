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j220\OneDrive\Desktop\mapup\MapUp-Data-Assessment-F\"/>
    </mc:Choice>
  </mc:AlternateContent>
  <xr:revisionPtr revIDLastSave="0" documentId="13_ncr:1_{B9969F11-0D32-4A4B-A87D-5BC63F0CC57D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30" i="18"/>
  <c r="D30" i="18"/>
  <c r="E30" i="18"/>
  <c r="F30" i="18"/>
  <c r="C29" i="18"/>
  <c r="D29" i="18"/>
  <c r="E29" i="18"/>
  <c r="F29" i="18"/>
  <c r="C28" i="18"/>
  <c r="D28" i="18"/>
  <c r="E28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29" i="18" s="1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B30" i="18" l="1"/>
  <c r="B28" i="18"/>
</calcChain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<sst xmlns="http://schemas.openxmlformats.org/spreadsheetml/2006/main" count="408" uniqueCount="185">
  <si>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</si>
  <si>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</si>
  <si>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</si>
  <si>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</si>
  <si>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</si>
  <si>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</si>
  <si>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</si>
  <si>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</si>
  <si>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</si>
  <si>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</si>
  <si>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</si>
  <si>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</si>
  <si>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</si>
  <si>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</si>
  <si>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</si>
  <si>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</si>
  <si>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</si>
  <si>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</si>
  <si>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</si>
  <si>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</si>
  <si>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</si>
  <si>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</si>
  <si>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</si>
  <si>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</si>
  <si>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</si>
  <si>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</si>
  <si>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</si>
  <si>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</si>
  <si>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</si>
  <si>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</si>
  <si>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</si>
  <si>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</si>
  <si>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</si>
  <si>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</si>
  <si>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</si>
  <si>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</si>
  <si>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</si>
  <si>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</si>
  <si>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</si>
  <si>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</si>
  <si>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</si>
  <si>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</si>
  <si>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</si>
  <si>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</si>
  <si>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</si>
  <si>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</si>
  <si>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</si>
  <si>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</si>
  <si>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</si>
  <si>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</si>
  <si>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</si>
  <si>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</si>
  <si>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</si>
  <si>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</si>
  <si>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</si>
  <si>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</si>
  <si>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</si>
  <si>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</si>
  <si>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</si>
  <si>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</si>
  <si>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</si>
  <si>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</si>
  <si>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</si>
  <si>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</si>
  <si>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</si>
  <si>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</si>
  <si>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</si>
  <si>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</si>
  <si>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</si>
  <si>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</si>
  <si>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</si>
  <si>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</si>
  <si>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</si>
  <si>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</si>
  <si>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</si>
  <si>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</si>
  <si>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</si>
  <si>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</si>
  <si>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</si>
  <si>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</si>
  <si>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</si>
  <si>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</si>
  <si>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</si>
  <si>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</si>
  <si>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</si>
  <si>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</si>
  <si>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</si>
  <si>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</si>
  <si>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</si>
  <si>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</si>
  <si>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</si>
  <si>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</si>
  <si>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</si>
  <si>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</si>
  <si>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</si>
  <si>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</si>
  <si>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</si>
  <si>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</si>
  <si>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</si>
  <si>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</si>
  <si>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</si>
  <si>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</si>
  <si>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</si>
  <si>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</si>
  <si>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</si>
  <si>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</si>
  <si>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</si>
  <si>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</si>
  <si>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</si>
  <si>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</si>
  <si>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</si>
  <si>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</si>
  <si>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</si>
  <si>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</si>
  <si>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</si>
  <si>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</si>
  <si>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</si>
  <si>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</si>
  <si>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</si>
  <si>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</si>
  <si>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</si>
  <si>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</si>
  <si>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</si>
  <si>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</si>
  <si>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</si>
  <si>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</si>
  <si>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</si>
  <si>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</si>
  <si>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</si>
  <si>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</si>
  <si>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</si>
  <si>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</si>
  <si>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</si>
  <si>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</si>
  <si>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</si>
  <si>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</si>
  <si>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</si>
  <si>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</si>
  <si>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</si>
  <si>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</si>
  <si>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</si>
  <si>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</si>
  <si>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</si>
  <si>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</si>
  <si>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</si>
  <si>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</si>
  <si>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</si>
  <si>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</si>
  <si>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</si>
  <si>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</si>
  <si>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</si>
  <si>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</si>
  <si>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</si>
  <si>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</si>
  <si>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</si>
  <si>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</si>
  <si>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</si>
  <si>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</si>
  <si>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</si>
  <si>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</si>
  <si>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</si>
  <si>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</si>
  <si>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</si>
  <si>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</si>
  <si>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</si>
  <si>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</si>
  <si>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</si>
  <si>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</si>
  <si>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</si>
  <si>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</si>
  <si>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</si>
  <si>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</si>
  <si>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</si>
  <si>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</si>
  <si>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</si>
  <si>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</si>
  <si>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</si>
  <si>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Formula used :- =SUM(C12:C21)</t>
  </si>
  <si>
    <t xml:space="preserve">First step was to replace the #N/A values with 20 as mentioned in the question. After replacing all the values by using 'replace all', the summation for the sales columns was implemented. </t>
  </si>
  <si>
    <t>Used the freeze panel under View tab</t>
  </si>
  <si>
    <t>Formula: =SUMIF(H2:H40,"&gt;20",H2:H40) Sum = 1473</t>
  </si>
  <si>
    <t xml:space="preserve">This was done using custom number format i.e. Selecting the range of cells containing the cells (X2 to X40). Go to the Format cells dialog box -&gt; Number Tab -&gt; Custom -&gt; 'YYYY-MM-DD' </t>
  </si>
  <si>
    <t>Firstly range containing the values were selected to split. In the data tab text to columns was selected. Next delimited option was selected. Selected delimiters were '-'. After preview it was applied on col_1, col_3, col_4, col_5 and col_6</t>
  </si>
  <si>
    <t>Formula - =INDEX($B$10:$J$18, MATCH(VLOOKUP(A23, $M$10:$N$18, 2, 0), $A$10:$A$18), MATCH(VLOOKUP(B23, $M$10:$N$18, 2, 0), $B$9:$J$9))</t>
  </si>
  <si>
    <t xml:space="preserve">VLOOKUP(A23, $M$10:$N$18, 2, 0): This part of the formula looks up the value in cell A23 in the range $M$10:$N$18 (columns M and N). It retrieves the corresponding value from the second column (index 2) of that range.
VLOOKUP(B23, $M$10:$N$18, 2, 0): Similar to the first VLOOKUP, this part looks up the value in cell B23 in the range $M$10:$N$18 and retrieves the corresponding value from the second column.
MATCH(VLOOKUP(A23, $M$10:$N$18, 2, 0), $A$10:$A$18): This MATCH function looks for the value obtained from the first VLOOKUP in the range $A$10:$A$18 (column A). It returns the relative position of that value in the list.
MATCH(VLOOKUP(B23, $M$10:$N$18, 2, 0), $B$9:$J$9): Similar to the previous MATCH, this function looks for the value obtained from the second VLOOKUP in the range $B$9:$J$9 (which seems to be a header row). It returns the relative position of that value in the list.
INDEX($B$10:$J$18, ..., ...): The INDEX function is then used to return the value at the intersection of the row and column obtained from the previous two MATCH functions. The range $B$10:$J$18 is the array from which to retrieve the final value.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</si>
</sst>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8" fillId="0" borderId="0" xfId="0" applyFont="1" applyAlignment="1">
      <alignment wrapText="1"/>
    </xf>
    <xf numFmtId="0" fontId="3" fillId="0" borderId="0" xfId="0" applyFont="1" applyAlignme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ont>
        <color rgb="FFFF0000"/>
      </font>
      <numFmt numFmtId="2" formatCode="0.00"/>
    </dxf>
    <dxf>
      <font>
        <color rgb="FF00B050"/>
      </font>
      <numFmt numFmtId="2" formatCode="0.00"/>
    </dxf>
    <dxf>
      <font>
        <color rgb="FFFF0000"/>
      </font>
      <numFmt numFmtId="2" formatCode="0.00"/>
    </dxf>
    <dxf>
      <font>
        <color rgb="FFFF0000"/>
      </font>
      <numFmt numFmtId="2" formatCode="0.0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K1" zoomScaleNormal="100" workbookViewId="0">
      <pane ySplit="1" topLeftCell="A2" activePane="bottomLeft" state="frozen"/>
      <selection pane="bottomLeft" activeCell="E25" sqref="E25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J2:J40">
    <cfRule type="cellIs" dxfId="3" priority="4" operator="equal">
      <formula>-1</formula>
    </cfRule>
  </conditionalFormatting>
  <conditionalFormatting sqref="I42">
    <cfRule type="cellIs" dxfId="2" priority="3" operator="equal">
      <formula>-1</formula>
    </cfRule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B1" zoomScaleNormal="100" workbookViewId="0">
      <selection activeCell="B16" sqref="B1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45.21875" style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 t="s">
        <v>179</v>
      </c>
      <c r="E4" s="1">
        <v>5</v>
      </c>
    </row>
    <row r="5" spans="1:5" x14ac:dyDescent="0.3">
      <c r="A5" s="6">
        <v>3</v>
      </c>
      <c r="B5" s="2" t="s">
        <v>104</v>
      </c>
      <c r="C5" s="34" t="s">
        <v>180</v>
      </c>
      <c r="E5" s="1">
        <v>10</v>
      </c>
    </row>
    <row r="6" spans="1:5" ht="55.2" x14ac:dyDescent="0.3">
      <c r="A6" s="6">
        <v>4</v>
      </c>
      <c r="B6" s="2" t="s">
        <v>106</v>
      </c>
      <c r="C6" s="46" t="s">
        <v>181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5" zoomScaleNormal="100" workbookViewId="0">
      <selection activeCell="I26" sqref="I2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 Dataset!A:G, 7, FALSE)</f>
        <v>2.7</v>
      </c>
      <c r="C6" s="12">
        <f>VLOOKUP(A6, Dataset!A:N, 14, FALSE)</f>
        <v>7.6</v>
      </c>
      <c r="D6" s="12">
        <f>VLOOKUP(A6, Dataset!A:R, 18, FALSE)</f>
        <v>4.2</v>
      </c>
      <c r="E6" s="12">
        <f>VLOOKUP(A6, Dataset!A:T, 20, FALSE)</f>
        <v>8.9</v>
      </c>
      <c r="F6" s="8">
        <f>VLOOKUP(A6, Dataset!A:V, 22, FALSE)</f>
        <v>4.2</v>
      </c>
    </row>
    <row r="7" spans="1:7" ht="14.4" x14ac:dyDescent="0.3">
      <c r="A7" s="7" t="s">
        <v>4</v>
      </c>
      <c r="B7" s="12">
        <f>VLOOKUP(A7, Dataset!A:G, 7, FALSE)</f>
        <v>2.7</v>
      </c>
      <c r="C7" s="12">
        <f>VLOOKUP(A7, Dataset!A:N, 14, FALSE)</f>
        <v>7.6</v>
      </c>
      <c r="D7" s="12">
        <f>VLOOKUP(A7, Dataset!A:R, 18, FALSE)</f>
        <v>4.2</v>
      </c>
      <c r="E7" s="12">
        <f>VLOOKUP(A7, Dataset!A:T, 20, FALSE)</f>
        <v>8.9</v>
      </c>
      <c r="F7" s="8">
        <f>VLOOKUP(A7, Dataset!A:V, 22, FALSE)</f>
        <v>4.2</v>
      </c>
    </row>
    <row r="8" spans="1:7" ht="14.4" x14ac:dyDescent="0.3">
      <c r="A8" s="7" t="s">
        <v>7</v>
      </c>
      <c r="B8" s="12">
        <f>VLOOKUP(A8, Dataset!A:G, 7, FALSE)</f>
        <v>3.6</v>
      </c>
      <c r="C8" s="12">
        <f>VLOOKUP(A8, Dataset!A:N, 14, FALSE)</f>
        <v>11.1</v>
      </c>
      <c r="D8" s="12">
        <f>VLOOKUP(A8, Dataset!A:R, 18, FALSE)</f>
        <v>5.8</v>
      </c>
      <c r="E8" s="12">
        <f>VLOOKUP(A8, Dataset!A:T, 20, FALSE)</f>
        <v>12.2</v>
      </c>
      <c r="F8" s="8">
        <f>VLOOKUP(A8, Dataset!A:V, 22, FALSE)</f>
        <v>5.8</v>
      </c>
    </row>
    <row r="9" spans="1:7" ht="14.4" x14ac:dyDescent="0.3">
      <c r="A9" s="7" t="s">
        <v>8</v>
      </c>
      <c r="B9" s="12">
        <f>VLOOKUP(A9, Dataset!A:G, 7, FALSE)</f>
        <v>4.9000000000000004</v>
      </c>
      <c r="C9" s="12">
        <f>VLOOKUP(A9, Dataset!A:N, 14, FALSE)</f>
        <v>13.3</v>
      </c>
      <c r="D9" s="12">
        <f>VLOOKUP(A9, Dataset!A:R, 18, FALSE)</f>
        <v>8.1</v>
      </c>
      <c r="E9" s="12">
        <f>VLOOKUP(A9, Dataset!A:T, 20, FALSE)</f>
        <v>17</v>
      </c>
      <c r="F9" s="8">
        <f>VLOOKUP(A9, Dataset!A:V, 22, FALSE)</f>
        <v>8.1</v>
      </c>
    </row>
    <row r="10" spans="1:7" ht="14.4" x14ac:dyDescent="0.3">
      <c r="A10" s="7" t="s">
        <v>11</v>
      </c>
      <c r="B10" s="12">
        <f>VLOOKUP(A10, Dataset!A:G, 7, FALSE)</f>
        <v>9.4</v>
      </c>
      <c r="C10" s="12">
        <f>VLOOKUP(A10, Dataset!A:N, 14, FALSE)</f>
        <v>28.3</v>
      </c>
      <c r="D10" s="12">
        <f>VLOOKUP(A10, Dataset!A:R, 18, FALSE)</f>
        <v>16.100000000000001</v>
      </c>
      <c r="E10" s="12">
        <f>VLOOKUP(A10, Dataset!A:T, 20, FALSE)</f>
        <v>32.799999999999997</v>
      </c>
      <c r="F10" s="8">
        <f>VLOOKUP(A10, Dataset!A:V, 22, FALSE)</f>
        <v>16.100000000000001</v>
      </c>
    </row>
    <row r="11" spans="1:7" ht="14.4" x14ac:dyDescent="0.3">
      <c r="A11" s="7" t="s">
        <v>12</v>
      </c>
      <c r="B11" s="12">
        <f>VLOOKUP(A11, Dataset!A:G, 7, FALSE)</f>
        <v>11.6</v>
      </c>
      <c r="C11" s="12">
        <f>VLOOKUP(A11, Dataset!A:N, 14, FALSE)</f>
        <v>35.200000000000003</v>
      </c>
      <c r="D11" s="12">
        <f>VLOOKUP(A11, Dataset!A:R, 18, FALSE)</f>
        <v>21.3</v>
      </c>
      <c r="E11" s="12">
        <f>VLOOKUP(A11, Dataset!A:T, 20, FALSE)</f>
        <v>43</v>
      </c>
      <c r="F11" s="8">
        <f>VLOOKUP(A11, Dataset!A:V, 22, FALSE)</f>
        <v>21.3</v>
      </c>
    </row>
    <row r="12" spans="1:7" ht="14.4" x14ac:dyDescent="0.3">
      <c r="A12" s="7" t="s">
        <v>14</v>
      </c>
      <c r="B12" s="12">
        <f>VLOOKUP(A12, Dataset!A:G, 7, FALSE)</f>
        <v>18.399999999999999</v>
      </c>
      <c r="C12" s="12">
        <f>VLOOKUP(A12, Dataset!A:N, 14, FALSE)</f>
        <v>55.6</v>
      </c>
      <c r="D12" s="12">
        <f>VLOOKUP(A12, Dataset!A:R, 18, FALSE)</f>
        <v>33.799999999999997</v>
      </c>
      <c r="E12" s="12">
        <f>VLOOKUP(A12, Dataset!A:T, 20, FALSE)</f>
        <v>67.900000000000006</v>
      </c>
      <c r="F12" s="8">
        <f>VLOOKUP(A12, Dataset!A:V, 22, FALSE)</f>
        <v>33.799999999999997</v>
      </c>
    </row>
    <row r="13" spans="1:7" ht="14.4" x14ac:dyDescent="0.3">
      <c r="A13" s="7" t="s">
        <v>15</v>
      </c>
      <c r="B13" s="12">
        <f>VLOOKUP(A13, Dataset!A:G, 7, FALSE)</f>
        <v>0</v>
      </c>
      <c r="C13" s="12">
        <f>VLOOKUP(A13, Dataset!A:N, 14, FALSE)</f>
        <v>0</v>
      </c>
      <c r="D13" s="12">
        <f>VLOOKUP(A13, Dataset!A:R, 18, FALSE)</f>
        <v>0</v>
      </c>
      <c r="E13" s="12">
        <f>VLOOKUP(A13, Dataset!A:T, 20, FALSE)</f>
        <v>0</v>
      </c>
      <c r="F13" s="8">
        <f>VLOOKUP(A13, Dataset!A:V, 22, FALSE)</f>
        <v>0</v>
      </c>
    </row>
    <row r="14" spans="1:7" ht="14.4" x14ac:dyDescent="0.3">
      <c r="A14" s="7" t="s">
        <v>16</v>
      </c>
      <c r="B14" s="12">
        <f>VLOOKUP(A14, Dataset!A:G, 7, FALSE)</f>
        <v>21.9</v>
      </c>
      <c r="C14" s="12">
        <f>VLOOKUP(A14, Dataset!A:N, 14, FALSE)</f>
        <v>61.5</v>
      </c>
      <c r="D14" s="12">
        <f>VLOOKUP(A14, Dataset!A:R, 18, FALSE)</f>
        <v>40.1</v>
      </c>
      <c r="E14" s="12">
        <f>VLOOKUP(A14, Dataset!A:T, 20, FALSE)</f>
        <v>76.599999999999994</v>
      </c>
      <c r="F14" s="8">
        <f>VLOOKUP(A14, Dataset!A:V, 22, FALSE)</f>
        <v>40.1</v>
      </c>
    </row>
    <row r="15" spans="1:7" ht="14.4" x14ac:dyDescent="0.3">
      <c r="A15" s="7" t="s">
        <v>18</v>
      </c>
      <c r="B15" s="12">
        <f>VLOOKUP(A15, Dataset!A:G, 7, FALSE)</f>
        <v>26.8</v>
      </c>
      <c r="C15" s="12">
        <f>VLOOKUP(A15, Dataset!A:N, 14, FALSE)</f>
        <v>79.599999999999994</v>
      </c>
      <c r="D15" s="12">
        <f>VLOOKUP(A15, Dataset!A:R, 18, FALSE)</f>
        <v>47.9</v>
      </c>
      <c r="E15" s="12">
        <f>VLOOKUP(A15, Dataset!A:T, 20, FALSE)</f>
        <v>96.8</v>
      </c>
      <c r="F15" s="8">
        <f>VLOOKUP(A15, Dataset!A:V, 22, FALSE)</f>
        <v>47.9</v>
      </c>
    </row>
    <row r="16" spans="1:7" ht="14.4" x14ac:dyDescent="0.3">
      <c r="A16" s="7" t="s">
        <v>20</v>
      </c>
      <c r="B16" s="12">
        <f>VLOOKUP(A16, Dataset!A:G, 7, FALSE)</f>
        <v>28.5</v>
      </c>
      <c r="C16" s="12">
        <f>VLOOKUP(A16, Dataset!A:N, 14, FALSE)</f>
        <v>85.4</v>
      </c>
      <c r="D16" s="12">
        <f>VLOOKUP(A16, Dataset!A:R, 18, FALSE)</f>
        <v>52.3</v>
      </c>
      <c r="E16" s="12">
        <f>VLOOKUP(A16, Dataset!A:T, 20, FALSE)</f>
        <v>106.1</v>
      </c>
      <c r="F16" s="8">
        <f>VLOOKUP(A16, Dataset!A:V, 22, FALSE)</f>
        <v>52.3</v>
      </c>
    </row>
    <row r="17" spans="1:6" ht="14.4" x14ac:dyDescent="0.3">
      <c r="A17" s="7" t="s">
        <v>22</v>
      </c>
      <c r="B17" s="12">
        <f>VLOOKUP(A17, Dataset!A:G, 7, FALSE)</f>
        <v>30.7</v>
      </c>
      <c r="C17" s="12">
        <f>VLOOKUP(A17, Dataset!A:N, 14, FALSE)</f>
        <v>92.1</v>
      </c>
      <c r="D17" s="12">
        <f>VLOOKUP(A17, Dataset!A:R, 18, FALSE)</f>
        <v>57</v>
      </c>
      <c r="E17" s="12">
        <f>VLOOKUP(A17, Dataset!A:T, 20, FALSE)</f>
        <v>115.1</v>
      </c>
      <c r="F17" s="8">
        <f>VLOOKUP(A17, Dataset!A:V, 22, FALSE)</f>
        <v>57</v>
      </c>
    </row>
    <row r="18" spans="1:6" ht="14.4" x14ac:dyDescent="0.3">
      <c r="A18" s="7" t="s">
        <v>23</v>
      </c>
      <c r="B18" s="12">
        <f>VLOOKUP(A18, Dataset!A:G, 7, FALSE)</f>
        <v>33.799999999999997</v>
      </c>
      <c r="C18" s="12">
        <f>VLOOKUP(A18, Dataset!A:N, 14, FALSE)</f>
        <v>101.3</v>
      </c>
      <c r="D18" s="12">
        <f>VLOOKUP(A18, Dataset!A:R, 18, FALSE)</f>
        <v>61.4</v>
      </c>
      <c r="E18" s="12">
        <f>VLOOKUP(A18, Dataset!A:T, 20, FALSE)</f>
        <v>124.4</v>
      </c>
      <c r="F18" s="8">
        <f>VLOOKUP(A18, Dataset!A:V, 22, FALSE)</f>
        <v>61.4</v>
      </c>
    </row>
    <row r="19" spans="1:6" ht="14.4" x14ac:dyDescent="0.3">
      <c r="A19" s="7" t="s">
        <v>24</v>
      </c>
      <c r="B19" s="12">
        <f>VLOOKUP(A19, Dataset!A:G, 7, FALSE)</f>
        <v>34.700000000000003</v>
      </c>
      <c r="C19" s="12">
        <f>VLOOKUP(A19, Dataset!A:N, 14, FALSE)</f>
        <v>106.1</v>
      </c>
      <c r="D19" s="12">
        <f>VLOOKUP(A19, Dataset!A:R, 18, FALSE)</f>
        <v>63.6</v>
      </c>
      <c r="E19" s="12">
        <f>VLOOKUP(A19, Dataset!A:T, 20, FALSE)</f>
        <v>128.6</v>
      </c>
      <c r="F19" s="8">
        <f>VLOOKUP(A19, Dataset!A:V, 22, FALSE)</f>
        <v>63.6</v>
      </c>
    </row>
    <row r="20" spans="1:6" ht="14.4" x14ac:dyDescent="0.3">
      <c r="A20" s="7" t="s">
        <v>28</v>
      </c>
      <c r="B20" s="12">
        <f>VLOOKUP(A20, Dataset!A:G, 7, FALSE)</f>
        <v>0</v>
      </c>
      <c r="C20" s="12">
        <f>VLOOKUP(A20, Dataset!A:N, 14, FALSE)</f>
        <v>0</v>
      </c>
      <c r="D20" s="12">
        <f>VLOOKUP(A20, Dataset!A:R, 18, FALSE)</f>
        <v>0</v>
      </c>
      <c r="E20" s="12">
        <f>VLOOKUP(A20, Dataset!A:T, 20, FALSE)</f>
        <v>0</v>
      </c>
      <c r="F20" s="8">
        <f>VLOOKUP(A20, Dataset!A:V, 22, FALSE)</f>
        <v>0</v>
      </c>
    </row>
    <row r="21" spans="1:6" ht="14.4" x14ac:dyDescent="0.3">
      <c r="A21" s="7" t="s">
        <v>57</v>
      </c>
      <c r="B21" s="12">
        <f>VLOOKUP(A21, Dataset!A:G, 7, FALSE)</f>
        <v>41.3</v>
      </c>
      <c r="C21" s="12">
        <f>VLOOKUP(A21, Dataset!A:N, 14, FALSE)</f>
        <v>124.4</v>
      </c>
      <c r="D21" s="12">
        <f>VLOOKUP(A21, Dataset!A:R, 18, FALSE)</f>
        <v>75</v>
      </c>
      <c r="E21" s="12">
        <f>VLOOKUP(A21, Dataset!A:T, 20, FALSE)</f>
        <v>151.5</v>
      </c>
      <c r="F21" s="8">
        <f>VLOOKUP(A21, Dataset!A:V, 22, FALSE)</f>
        <v>75</v>
      </c>
    </row>
    <row r="22" spans="1:6" ht="14.4" x14ac:dyDescent="0.3">
      <c r="A22" s="7" t="s">
        <v>58</v>
      </c>
      <c r="B22" s="12">
        <f>VLOOKUP(A22, Dataset!A:G, 7, FALSE)</f>
        <v>-1</v>
      </c>
      <c r="C22" s="12">
        <f>VLOOKUP(A22, Dataset!A:N, 14, FALSE)</f>
        <v>-1</v>
      </c>
      <c r="D22" s="12">
        <f>VLOOKUP(A22, Dataset!A:R, 18, FALSE)</f>
        <v>-1</v>
      </c>
      <c r="E22" s="12">
        <f>VLOOKUP(A22, Dataset!A:T, 20, FALSE)</f>
        <v>-1</v>
      </c>
      <c r="F22" s="8">
        <f>VLOOKUP(A22, Dataset!A:V, 22, FALSE)</f>
        <v>-1</v>
      </c>
    </row>
    <row r="23" spans="1:6" ht="14.4" x14ac:dyDescent="0.3">
      <c r="A23" s="7" t="s">
        <v>31</v>
      </c>
      <c r="B23" s="12">
        <f>VLOOKUP(A23, Dataset!A:G, 7, FALSE)</f>
        <v>45</v>
      </c>
      <c r="C23" s="12">
        <f>VLOOKUP(A23, Dataset!A:N, 14, FALSE)</f>
        <v>133.4</v>
      </c>
      <c r="D23" s="12">
        <f>VLOOKUP(A23, Dataset!A:R, 18, FALSE)</f>
        <v>79.400000000000006</v>
      </c>
      <c r="E23" s="12">
        <f>VLOOKUP(A23, Dataset!A:T, 20, FALSE)</f>
        <v>160.9</v>
      </c>
      <c r="F23" s="8">
        <f>VLOOKUP(A23, Dataset!A:V, 22, FALSE)</f>
        <v>79.400000000000006</v>
      </c>
    </row>
    <row r="24" spans="1:6" ht="14.4" x14ac:dyDescent="0.3">
      <c r="A24" s="7" t="s">
        <v>32</v>
      </c>
      <c r="B24" s="12">
        <f>VLOOKUP(A24, Dataset!A:G, 7, FALSE)</f>
        <v>-1</v>
      </c>
      <c r="C24" s="12">
        <f>VLOOKUP(A24, Dataset!A:N, 14, FALSE)</f>
        <v>-1</v>
      </c>
      <c r="D24" s="12">
        <f>VLOOKUP(A24, Dataset!A:R, 18, FALSE)</f>
        <v>-1</v>
      </c>
      <c r="E24" s="12">
        <f>VLOOKUP(A24, Dataset!A:T, 20, FALSE)</f>
        <v>-1</v>
      </c>
      <c r="F24" s="8">
        <f>VLOOKUP(A24, Dataset!A:V, 22, FALSE)</f>
        <v>-1</v>
      </c>
    </row>
    <row r="25" spans="1:6" ht="14.4" x14ac:dyDescent="0.3">
      <c r="A25" s="7" t="s">
        <v>34</v>
      </c>
      <c r="B25" s="12">
        <f>VLOOKUP(A25, Dataset!A:G, 7, FALSE)</f>
        <v>43.3</v>
      </c>
      <c r="C25" s="12">
        <f>VLOOKUP(A25, Dataset!A:N, 14, FALSE)</f>
        <v>128.6</v>
      </c>
      <c r="D25" s="12">
        <f>VLOOKUP(A25, Dataset!A:R, 18, FALSE)</f>
        <v>79.400000000000006</v>
      </c>
      <c r="E25" s="12">
        <f>VLOOKUP(A25, Dataset!A:T, 20, FALSE)</f>
        <v>160.9</v>
      </c>
      <c r="F25" s="8">
        <f>VLOOKUP(A25, Dataset!A:V, 22, FALSE)</f>
        <v>79.400000000000006</v>
      </c>
    </row>
    <row r="26" spans="1:6" ht="14.4" x14ac:dyDescent="0.3">
      <c r="A26" s="7" t="s">
        <v>37</v>
      </c>
      <c r="B26" s="12">
        <f>VLOOKUP(A26, Dataset!A:G, 7, FALSE)</f>
        <v>49.1</v>
      </c>
      <c r="C26" s="12">
        <f>VLOOKUP(A26, Dataset!A:N, 14, FALSE)</f>
        <v>146.80000000000001</v>
      </c>
      <c r="D26" s="12">
        <f>VLOOKUP(A26, Dataset!A:R, 18, FALSE)</f>
        <v>90.9</v>
      </c>
      <c r="E26" s="12">
        <f>VLOOKUP(A26, Dataset!A:T, 20, FALSE)</f>
        <v>183.5</v>
      </c>
      <c r="F26" s="8">
        <f>VLOOKUP(A26, Dataset!A:V, 22, FALSE)</f>
        <v>90.9</v>
      </c>
    </row>
    <row r="27" spans="1:6" ht="14.4" x14ac:dyDescent="0.3">
      <c r="A27" s="7" t="s">
        <v>39</v>
      </c>
      <c r="B27" s="12">
        <f>VLOOKUP(A27, Dataset!A:G, 7, FALSE)</f>
        <v>51.8</v>
      </c>
      <c r="C27" s="12">
        <f>VLOOKUP(A27, Dataset!A:N, 14, FALSE)</f>
        <v>156.4</v>
      </c>
      <c r="D27" s="12">
        <f>VLOOKUP(A27, Dataset!A:R, 18, FALSE)</f>
        <v>93.1</v>
      </c>
      <c r="E27" s="12">
        <f>VLOOKUP(A27, Dataset!A:T, 20, FALSE)</f>
        <v>188.1</v>
      </c>
      <c r="F27" s="8">
        <f>VLOOKUP(A27, Dataset!A:V, 22, 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8" zoomScaleNormal="100" workbookViewId="0">
      <selection activeCell="K51" sqref="K51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1" t="s">
        <v>182</v>
      </c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9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G25" sqref="G25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3" t="s">
        <v>177</v>
      </c>
    </row>
    <row r="7" spans="1:3" ht="14.4" x14ac:dyDescent="0.3">
      <c r="A7" s="3" t="s">
        <v>153</v>
      </c>
      <c r="B7" s="1" t="s">
        <v>178</v>
      </c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>
        <v>20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>
        <v>20</v>
      </c>
    </row>
    <row r="22" spans="1:3" ht="14.4" x14ac:dyDescent="0.3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H25" sqref="H2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  <c r="C4" s="2" t="s">
        <v>183</v>
      </c>
    </row>
    <row r="5" spans="1:14" ht="18" x14ac:dyDescent="0.35">
      <c r="A5" s="43" t="s">
        <v>153</v>
      </c>
      <c r="B5" s="47" t="s">
        <v>184</v>
      </c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>INDEX($B$10:$J$18,MATCH(VLOOKUP(A23,$M$10:$N$18,2,0),$A$10:$A$18),MATCH(VLOOKUP(B23,$M$10:$N$18,2,0),$B$9:$J$9))</f>
        <v>95</v>
      </c>
    </row>
    <row r="24" spans="1:14" ht="14.4" x14ac:dyDescent="0.3">
      <c r="A24" s="7">
        <v>10100</v>
      </c>
      <c r="B24" s="12">
        <v>10104</v>
      </c>
      <c r="C24" s="44">
        <f t="shared" ref="C24:C35" si="0">INDEX($B$10:$J$18,MATCH(VLOOKUP(A24,$M$10:$N$18,2,0),$A$10:$A$18),MATCH(VLOOKUP(B24,$M$10:$N$18,2,0),$B$9:$J$9))</f>
        <v>-1</v>
      </c>
    </row>
    <row r="25" spans="1:14" ht="14.4" x14ac:dyDescent="0.3">
      <c r="A25" s="7">
        <v>10108</v>
      </c>
      <c r="B25" s="12">
        <v>10102</v>
      </c>
      <c r="C25" s="44">
        <f t="shared" si="0"/>
        <v>160</v>
      </c>
    </row>
    <row r="26" spans="1:14" ht="14.4" x14ac:dyDescent="0.3">
      <c r="A26" s="7">
        <v>10100</v>
      </c>
      <c r="B26" s="12">
        <v>10106</v>
      </c>
      <c r="C26" s="44">
        <f t="shared" si="0"/>
        <v>185</v>
      </c>
    </row>
    <row r="27" spans="1:14" ht="14.4" x14ac:dyDescent="0.3">
      <c r="A27" s="7">
        <v>10108</v>
      </c>
      <c r="B27" s="12">
        <v>10110</v>
      </c>
      <c r="C27" s="44">
        <f t="shared" si="0"/>
        <v>50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</row>
    <row r="29" spans="1:14" ht="14.4" x14ac:dyDescent="0.3">
      <c r="A29" s="7">
        <v>10106</v>
      </c>
      <c r="B29" s="12">
        <v>10108</v>
      </c>
      <c r="C29" s="44">
        <f t="shared" si="0"/>
        <v>70</v>
      </c>
    </row>
    <row r="30" spans="1:14" ht="14.4" x14ac:dyDescent="0.3">
      <c r="A30" s="7">
        <v>10102</v>
      </c>
      <c r="B30" s="12">
        <v>10106</v>
      </c>
      <c r="C30" s="44">
        <f t="shared" si="0"/>
        <v>90</v>
      </c>
    </row>
    <row r="31" spans="1:14" ht="14.4" x14ac:dyDescent="0.3">
      <c r="A31" s="7">
        <v>10110</v>
      </c>
      <c r="B31" s="12">
        <v>10114</v>
      </c>
      <c r="C31" s="44">
        <f t="shared" si="0"/>
        <v>180</v>
      </c>
    </row>
    <row r="32" spans="1:14" ht="14.4" x14ac:dyDescent="0.3">
      <c r="A32" s="7">
        <v>10104</v>
      </c>
      <c r="B32" s="12">
        <v>10106</v>
      </c>
      <c r="C32" s="44">
        <f t="shared" si="0"/>
        <v>60</v>
      </c>
    </row>
    <row r="33" spans="1:3" ht="14.4" x14ac:dyDescent="0.3">
      <c r="A33" s="7">
        <v>10110</v>
      </c>
      <c r="B33" s="12">
        <v>10112</v>
      </c>
      <c r="C33" s="44">
        <f t="shared" si="0"/>
        <v>115</v>
      </c>
    </row>
    <row r="34" spans="1:3" ht="14.4" x14ac:dyDescent="0.3">
      <c r="A34" s="7">
        <v>10100</v>
      </c>
      <c r="B34" s="12">
        <v>10114</v>
      </c>
      <c r="C34" s="44">
        <f t="shared" si="0"/>
        <v>480</v>
      </c>
    </row>
    <row r="35" spans="1:3" ht="14.4" x14ac:dyDescent="0.3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Shruti Jain</cp:lastModifiedBy>
  <dcterms:created xsi:type="dcterms:W3CDTF">2015-02-10T17:33:11Z</dcterms:created>
  <dcterms:modified xsi:type="dcterms:W3CDTF">2023-12-10T10:44:37Z</dcterms:modified>
</cp:coreProperties>
</file>