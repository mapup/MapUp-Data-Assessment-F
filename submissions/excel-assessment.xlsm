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12061578-C524-452E-838D-C2CDB9DE898B}" xr6:coauthVersionLast="47" xr6:coauthVersionMax="47" xr10:uidLastSave="{00000000-0000-0000-0000-000000000000}"/>
  <bookViews>
    <workbookView xWindow="-108" yWindow="-108" windowWidth="23256" windowHeight="1257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C24" i="20"/>
  <c r="C23" i="20"/>
  <c r="C25" i="20"/>
  <c r="C26" i="20"/>
  <c r="C27" i="20"/>
  <c r="C28" i="20"/>
  <c r="C29" i="20"/>
  <c r="C30" i="20"/>
  <c r="C31" i="20"/>
  <c r="C32" i="20"/>
  <c r="C33" i="20"/>
  <c r="C34" i="20"/>
  <c r="C35" i="20"/>
  <c r="F30" i="18" l="1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E6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H41" i="1"/>
  <c r="H1048576" i="1"/>
</calcChain>
</file>

<file path=xl/sharedStrings.xml><?xml version="1.0" encoding="utf-8"?>
<sst xmlns="http://schemas.openxmlformats.org/spreadsheetml/2006/main" count="414" uniqueCount="191">
  <si>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</si>
  <si>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</si>
  <si>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</si>
  <si>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</si>
  <si>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</si>
  <si>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</si>
  <si>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</si>
  <si>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</si>
  <si>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</si>
  <si>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</si>
  <si>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</si>
  <si>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</si>
  <si>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</si>
  <si>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</si>
  <si>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</si>
  <si>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</si>
  <si>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</si>
  <si>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</si>
  <si>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</si>
  <si>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</si>
  <si>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</si>
  <si>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</si>
  <si>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</si>
  <si>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</si>
  <si>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</si>
  <si>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</si>
  <si>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</si>
  <si>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</si>
  <si>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</si>
  <si>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</si>
  <si>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</si>
  <si>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</si>
  <si>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</si>
  <si>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</si>
  <si>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</si>
  <si>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</si>
  <si>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</si>
  <si>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</si>
  <si>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</si>
  <si>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</si>
  <si>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</si>
  <si>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</si>
  <si>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</si>
  <si>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</si>
  <si>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</si>
  <si>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</si>
  <si>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</si>
  <si>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</si>
  <si>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</si>
  <si>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</si>
  <si>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</si>
  <si>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</si>
  <si>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</si>
  <si>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</si>
  <si>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</si>
  <si>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</si>
  <si>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</si>
  <si>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</si>
  <si>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</si>
  <si>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</si>
  <si>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</si>
  <si>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</si>
  <si>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</si>
  <si>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</si>
  <si>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</si>
  <si>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</si>
  <si>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</si>
  <si>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</si>
  <si>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</si>
  <si>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</si>
  <si>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</si>
  <si>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</si>
  <si>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</si>
  <si>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</si>
  <si>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</si>
  <si>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</si>
  <si>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</si>
  <si>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</si>
  <si>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</si>
  <si>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</si>
  <si>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</si>
  <si>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</si>
  <si>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</si>
  <si>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</si>
  <si>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</si>
  <si>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</si>
  <si>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</si>
  <si>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</si>
  <si>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</si>
  <si>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</si>
  <si>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</si>
  <si>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</si>
  <si>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</si>
  <si>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</si>
  <si>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</si>
  <si>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</si>
  <si>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</si>
  <si>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</si>
  <si>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</si>
  <si>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</si>
  <si>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</si>
  <si>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</si>
  <si>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</si>
  <si>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</si>
  <si>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</si>
  <si>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</si>
  <si>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</si>
  <si>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</si>
  <si>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</si>
  <si>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</si>
  <si>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</si>
  <si>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</si>
  <si>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</si>
  <si>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</si>
  <si>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</si>
  <si>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</si>
  <si>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</si>
  <si>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</si>
  <si>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</si>
  <si>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</si>
  <si>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</si>
  <si>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</si>
  <si>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</si>
  <si>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</si>
  <si>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</si>
  <si>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</si>
  <si>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</si>
  <si>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</si>
  <si>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</si>
  <si>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</si>
  <si>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</si>
  <si>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</si>
  <si>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</si>
  <si>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</si>
  <si>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</si>
  <si>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</si>
  <si>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</si>
  <si>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</si>
  <si>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</si>
  <si>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</si>
  <si>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</si>
  <si>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</si>
  <si>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</si>
  <si>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</si>
  <si>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</si>
  <si>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</si>
  <si>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</si>
  <si>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</si>
  <si>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</si>
  <si>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</si>
  <si>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</si>
  <si>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</si>
  <si>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</si>
  <si>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</si>
  <si>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</si>
  <si>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</si>
  <si>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</si>
  <si>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</si>
  <si>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</si>
  <si>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</si>
  <si>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</si>
  <si>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</si>
  <si>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</si>
  <si>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</si>
  <si>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</si>
  <si>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</si>
  <si>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</si>
  <si>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</si>
  <si>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</si>
  <si>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</si>
  <si>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</si>
  <si>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</si>
  <si>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</si>
  <si>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</si>
  <si>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</si>
  <si>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</si>
  <si>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Step 2) Select Text to Columns</t>
  </si>
  <si>
    <t xml:space="preserve">Steps 1) Choose Data Tab  Step </t>
  </si>
  <si>
    <r>
      <rPr>
        <b/>
        <sz val="10"/>
        <color rgb="FF000000"/>
        <rFont val="Calibri"/>
        <family val="2"/>
        <scheme val="minor"/>
      </rPr>
      <t xml:space="preserve">Step 4) </t>
    </r>
    <r>
      <rPr>
        <sz val="10"/>
        <color rgb="FF000000"/>
        <rFont val="Calibri"/>
        <family val="2"/>
        <scheme val="minor"/>
      </rPr>
      <t xml:space="preserve">MATCH(VLOOKUP(B23, $M$10:$N$18, 2, 0), $B$9:$J$9): This part of the formula looks for the value obtained from the 
step 2 VLOOKUP in the range $B$9:$J$9. It returns the position of that value in the list. </t>
    </r>
    <r>
      <rPr>
        <b/>
        <sz val="10"/>
        <color rgb="FF000000"/>
        <rFont val="Calibri"/>
        <family val="2"/>
        <scheme val="minor"/>
      </rPr>
      <t>Step 5</t>
    </r>
    <r>
      <rPr>
        <sz val="10"/>
        <color rgb="FF000000"/>
        <rFont val="Calibri"/>
        <family val="2"/>
        <scheme val="minor"/>
      </rPr>
      <t xml:space="preserve">) $B$9:$J$9: This will return the value at the intersection point of the row and column obtained from 
the two MATCH functions from step 3 and step 4. </t>
    </r>
  </si>
  <si>
    <r>
      <rPr>
        <b/>
        <sz val="10"/>
        <color rgb="FF000000"/>
        <rFont val="Calibri"/>
        <family val="2"/>
        <scheme val="minor"/>
      </rPr>
      <t>Step 3)</t>
    </r>
    <r>
      <rPr>
        <sz val="10"/>
        <color rgb="FF000000"/>
        <rFont val="Calibri"/>
        <family val="2"/>
        <scheme val="minor"/>
      </rPr>
      <t xml:space="preserve"> MATCH(VLOOKUP(A23, $M$10:$N$18, 2, 0), $A$10:$A$18): This part of the formula looks for the value obtained from step 1 in the 
range $A$10:$A$18. It returns the position of that value in the list.</t>
    </r>
  </si>
  <si>
    <r>
      <rPr>
        <b/>
        <sz val="11"/>
        <color rgb="FF000000"/>
        <rFont val="Calibri"/>
        <family val="2"/>
        <scheme val="minor"/>
      </rPr>
      <t>Step 2)</t>
    </r>
    <r>
      <rPr>
        <sz val="11"/>
        <color rgb="FF000000"/>
        <rFont val="Calibri"/>
        <family val="2"/>
        <scheme val="minor"/>
      </rPr>
      <t xml:space="preserve"> VLOOKUP(B23, $M$10:$N$18, 2, 0): This part of the formula looks up the value in cell B23 in the range $M$10:$N$18. 
It will fetch the corresponding value from the second column of that particular range.</t>
    </r>
  </si>
  <si>
    <r>
      <rPr>
        <b/>
        <sz val="11"/>
        <color rgb="FF000000"/>
        <rFont val="Calibri"/>
        <family val="2"/>
        <scheme val="minor"/>
      </rPr>
      <t>Step 1)</t>
    </r>
    <r>
      <rPr>
        <sz val="11"/>
        <color rgb="FF000000"/>
        <rFont val="Calibri"/>
        <family val="2"/>
        <scheme val="minor"/>
      </rPr>
      <t xml:space="preserve"> VLOOKUP(A23, $M$10:$N$18, 2, 0): This part of the formula looks up the value in cell A23 in the range $M$10:$N$18.  It will fetch the corresponding value from the second column of that particular range.</t>
    </r>
  </si>
  <si>
    <t>Formula Used - INDEX($B$10:$J$18, MATCH(VLOOKUP(A23, $M$10:$N$18, 2, 0), $A$10:$A$18), MATCH(VLOOKUP(B23, $M$10:$N$18, 2, 0), $B$9:$J$9))</t>
  </si>
  <si>
    <t>All 20 values must be substituted with the value '20'</t>
  </si>
  <si>
    <t>Formula used =SUM(C12,C21)</t>
  </si>
  <si>
    <t xml:space="preserve">I have used 'find and replace' to replace all "#N/A" with 20. After that to calculate sum, I have used formula =SUM(C12,C21) </t>
  </si>
  <si>
    <t>View-&gt;Freeze Panes-&gt;Freeze top row</t>
  </si>
  <si>
    <r>
      <t xml:space="preserve">Formula =SUM(H2:H40) </t>
    </r>
    <r>
      <rPr>
        <sz val="10"/>
        <color rgb="FF000000"/>
        <rFont val="Calibri"/>
        <family val="2"/>
        <scheme val="minor"/>
      </rPr>
      <t>SUM = 1473</t>
    </r>
  </si>
  <si>
    <t>Conditional Formatting -&gt; New Rule</t>
  </si>
  <si>
    <t xml:space="preserve">Delimited -  dealing with data that is separated or delimited by a specific character such as a comma (,) or any another character. </t>
  </si>
  <si>
    <t>Step 3) Choose delimeter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</si>
</sst>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0" fontId="18" fillId="0" borderId="0" xfId="0" applyFont="1"/>
    <xf numFmtId="0" fontId="3" fillId="0" borderId="0" xfId="0" applyFont="1" applyAlignment="1">
      <alignment wrapText="1"/>
    </xf>
    <xf numFmtId="0" fontId="8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1048576"/>
  <sheetViews>
    <sheetView zoomScaleNormal="100" workbookViewId="0">
      <pane ySplit="1" topLeftCell="A17" activePane="bottomLeft" state="frozen"/>
      <selection pane="bottomLeft" activeCell="AC30" sqref="AC3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">
      <c r="H41" s="1">
        <f>SUM(H2:H40)</f>
        <v>1540.5000000000002</v>
      </c>
    </row>
    <row r="1048576" spans="8:8" x14ac:dyDescent="0.3">
      <c r="H1048576" s="1">
        <f>SUM(H2:H1048575)</f>
        <v>3081.0000000000005</v>
      </c>
    </row>
  </sheetData>
  <conditionalFormatting sqref="A1:A1048576">
    <cfRule type="duplicateValues" dxfId="6" priority="7"/>
  </conditionalFormatting>
  <conditionalFormatting sqref="B1:B1048576">
    <cfRule type="duplicateValues" dxfId="5" priority="6"/>
  </conditionalFormatting>
  <conditionalFormatting sqref="A2">
    <cfRule type="cellIs" dxfId="4" priority="3" operator="equal">
      <formula>-1</formula>
    </cfRule>
    <cfRule type="cellIs" dxfId="3" priority="4" operator="equal">
      <formula>0</formula>
    </cfRule>
    <cfRule type="cellIs" dxfId="2" priority="5" operator="equal">
      <formula>-1</formula>
    </cfRule>
  </conditionalFormatting>
  <conditionalFormatting sqref="G2:Y40">
    <cfRule type="cellIs" dxfId="1" priority="2" operator="equal">
      <formula>-1</formula>
    </cfRule>
  </conditionalFormatting>
  <conditionalFormatting sqref="G2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1" sqref="C11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31.5546875" style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 t="s">
        <v>186</v>
      </c>
      <c r="E4" s="1">
        <v>5</v>
      </c>
    </row>
    <row r="5" spans="1:5" x14ac:dyDescent="0.3">
      <c r="A5" s="6">
        <v>3</v>
      </c>
      <c r="B5" s="2" t="s">
        <v>104</v>
      </c>
      <c r="C5" s="34" t="s">
        <v>187</v>
      </c>
      <c r="E5" s="1">
        <v>10</v>
      </c>
    </row>
    <row r="6" spans="1:5" x14ac:dyDescent="0.3">
      <c r="A6" s="6">
        <v>4</v>
      </c>
      <c r="B6" s="2" t="s">
        <v>106</v>
      </c>
      <c r="C6" s="2" t="s">
        <v>188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4" zoomScaleNormal="100" workbookViewId="0">
      <selection activeCell="H29" sqref="H29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VLOOKUP(A6,Dataset!A1:X40,7,FALSE)</f>
        <v>2.7</v>
      </c>
      <c r="C6" s="12">
        <f>VLOOKUP(A6,Dataset!A2:X40,13,FALSE)</f>
        <v>5.3</v>
      </c>
      <c r="D6" s="12">
        <f>VLOOKUP(A6,Dataset!A1:X40,18,FALSE)</f>
        <v>4.2</v>
      </c>
      <c r="E6" s="12">
        <f>VLOOKUP(A6,Dataset!A1:X40,20,FALSE)</f>
        <v>8.9</v>
      </c>
      <c r="F6" s="8">
        <f>VLOOKUP(A6,Dataset!A1:X40,22,FALSE)</f>
        <v>4.2</v>
      </c>
    </row>
    <row r="7" spans="1:7" ht="14.4" x14ac:dyDescent="0.3">
      <c r="A7" s="7" t="s">
        <v>4</v>
      </c>
      <c r="B7" s="12">
        <f>VLOOKUP(A7,Dataset!A2:X41,7,FALSE)</f>
        <v>2.7</v>
      </c>
      <c r="C7" s="12">
        <f>VLOOKUP(A7,Dataset!A3:X41,13,FALSE)</f>
        <v>5.3</v>
      </c>
      <c r="D7" s="12">
        <f>VLOOKUP(A7,Dataset!A2:X41,18,FALSE)</f>
        <v>4.2</v>
      </c>
      <c r="E7" s="12">
        <f>VLOOKUP(A7,Dataset!A2:X41,20,FALSE)</f>
        <v>8.9</v>
      </c>
      <c r="F7" s="8">
        <f>VLOOKUP(A7,Dataset!A2:X41,22,FALSE)</f>
        <v>4.2</v>
      </c>
    </row>
    <row r="8" spans="1:7" ht="14.4" x14ac:dyDescent="0.3">
      <c r="A8" s="7" t="s">
        <v>7</v>
      </c>
      <c r="B8" s="12">
        <f>VLOOKUP(A8,Dataset!A3:X42,7,FALSE)</f>
        <v>3.6</v>
      </c>
      <c r="C8" s="12">
        <f>VLOOKUP(A8,Dataset!A4:X42,13,FALSE)</f>
        <v>7.6</v>
      </c>
      <c r="D8" s="12">
        <f>VLOOKUP(A8,Dataset!A3:X42,18,FALSE)</f>
        <v>5.8</v>
      </c>
      <c r="E8" s="12">
        <f>VLOOKUP(A8,Dataset!A3:X42,20,FALSE)</f>
        <v>12.2</v>
      </c>
      <c r="F8" s="8">
        <f>VLOOKUP(A8,Dataset!A3:X42,22,FALSE)</f>
        <v>5.8</v>
      </c>
    </row>
    <row r="9" spans="1:7" ht="14.4" x14ac:dyDescent="0.3">
      <c r="A9" s="7" t="s">
        <v>8</v>
      </c>
      <c r="B9" s="12">
        <f>VLOOKUP(A9,Dataset!A4:X43,7,FALSE)</f>
        <v>4.9000000000000004</v>
      </c>
      <c r="C9" s="12">
        <f>VLOOKUP(A9,Dataset!A5:X43,13,FALSE)</f>
        <v>10</v>
      </c>
      <c r="D9" s="12">
        <f>VLOOKUP(A9,Dataset!A4:X43,18,FALSE)</f>
        <v>8.1</v>
      </c>
      <c r="E9" s="12">
        <f>VLOOKUP(A9,Dataset!A4:X43,20,FALSE)</f>
        <v>17</v>
      </c>
      <c r="F9" s="8">
        <f>VLOOKUP(A9,Dataset!A4:X43,22,FALSE)</f>
        <v>8.1</v>
      </c>
    </row>
    <row r="10" spans="1:7" ht="14.4" x14ac:dyDescent="0.3">
      <c r="A10" s="7" t="s">
        <v>11</v>
      </c>
      <c r="B10" s="12">
        <f>VLOOKUP(A10,Dataset!A5:X44,7,FALSE)</f>
        <v>9.4</v>
      </c>
      <c r="C10" s="12">
        <f>VLOOKUP(A10,Dataset!A6:X44,13,FALSE)</f>
        <v>19.2</v>
      </c>
      <c r="D10" s="12">
        <f>VLOOKUP(A10,Dataset!A5:X44,18,FALSE)</f>
        <v>16.100000000000001</v>
      </c>
      <c r="E10" s="12">
        <f>VLOOKUP(A10,Dataset!A5:X44,20,FALSE)</f>
        <v>32.799999999999997</v>
      </c>
      <c r="F10" s="8">
        <f>VLOOKUP(A10,Dataset!A5:X44,22,FALSE)</f>
        <v>16.100000000000001</v>
      </c>
    </row>
    <row r="11" spans="1:7" ht="14.4" x14ac:dyDescent="0.3">
      <c r="A11" s="7" t="s">
        <v>12</v>
      </c>
      <c r="B11" s="12">
        <f>VLOOKUP(A11,Dataset!A6:X45,7,FALSE)</f>
        <v>11.6</v>
      </c>
      <c r="C11" s="12">
        <f>VLOOKUP(A11,Dataset!A7:X45,13,FALSE)</f>
        <v>23.6</v>
      </c>
      <c r="D11" s="12">
        <f>VLOOKUP(A11,Dataset!A6:X45,18,FALSE)</f>
        <v>21.3</v>
      </c>
      <c r="E11" s="12">
        <f>VLOOKUP(A11,Dataset!A6:X45,20,FALSE)</f>
        <v>43</v>
      </c>
      <c r="F11" s="8">
        <f>VLOOKUP(A11,Dataset!A6:X45,22,FALSE)</f>
        <v>21.3</v>
      </c>
    </row>
    <row r="12" spans="1:7" ht="14.4" x14ac:dyDescent="0.3">
      <c r="A12" s="7" t="s">
        <v>14</v>
      </c>
      <c r="B12" s="12">
        <f>VLOOKUP(A12,Dataset!A7:X46,7,FALSE)</f>
        <v>18.399999999999999</v>
      </c>
      <c r="C12" s="12">
        <f>VLOOKUP(A12,Dataset!A8:X46,13,FALSE)</f>
        <v>37.200000000000003</v>
      </c>
      <c r="D12" s="12">
        <f>VLOOKUP(A12,Dataset!A7:X46,18,FALSE)</f>
        <v>33.799999999999997</v>
      </c>
      <c r="E12" s="12">
        <f>VLOOKUP(A12,Dataset!A7:X46,20,FALSE)</f>
        <v>67.900000000000006</v>
      </c>
      <c r="F12" s="8">
        <f>VLOOKUP(A12,Dataset!A7:X46,22,FALSE)</f>
        <v>33.799999999999997</v>
      </c>
    </row>
    <row r="13" spans="1:7" ht="14.4" x14ac:dyDescent="0.3">
      <c r="A13" s="7" t="s">
        <v>15</v>
      </c>
      <c r="B13" s="12">
        <f>VLOOKUP(A13,Dataset!A8:X47,7,FALSE)</f>
        <v>0</v>
      </c>
      <c r="C13" s="12">
        <f>VLOOKUP(A13,Dataset!A9:X47,13,FALSE)</f>
        <v>0</v>
      </c>
      <c r="D13" s="12">
        <f>VLOOKUP(A13,Dataset!A8:X47,18,FALSE)</f>
        <v>0</v>
      </c>
      <c r="E13" s="12">
        <f>VLOOKUP(A13,Dataset!A8:X47,20,FALSE)</f>
        <v>0</v>
      </c>
      <c r="F13" s="8">
        <f>VLOOKUP(A13,Dataset!A8:X47,22,FALSE)</f>
        <v>0</v>
      </c>
    </row>
    <row r="14" spans="1:7" ht="14.4" x14ac:dyDescent="0.3">
      <c r="A14" s="7" t="s">
        <v>16</v>
      </c>
      <c r="B14" s="12">
        <f>VLOOKUP(A14,Dataset!A9:X48,7,FALSE)</f>
        <v>21.9</v>
      </c>
      <c r="C14" s="12">
        <f>VLOOKUP(A14,Dataset!A10:X48,13,FALSE)</f>
        <v>42.3</v>
      </c>
      <c r="D14" s="12">
        <f>VLOOKUP(A14,Dataset!A9:X48,18,FALSE)</f>
        <v>40.1</v>
      </c>
      <c r="E14" s="12">
        <f>VLOOKUP(A14,Dataset!A9:X48,20,FALSE)</f>
        <v>76.599999999999994</v>
      </c>
      <c r="F14" s="8">
        <f>VLOOKUP(A14,Dataset!A9:X48,22,FALSE)</f>
        <v>40.1</v>
      </c>
    </row>
    <row r="15" spans="1:7" ht="14.4" x14ac:dyDescent="0.3">
      <c r="A15" s="7" t="s">
        <v>18</v>
      </c>
      <c r="B15" s="12">
        <f>VLOOKUP(A15,Dataset!A10:X49,7,FALSE)</f>
        <v>26.8</v>
      </c>
      <c r="C15" s="12">
        <f>VLOOKUP(A15,Dataset!A11:X49,13,FALSE)</f>
        <v>54.6</v>
      </c>
      <c r="D15" s="12">
        <f>VLOOKUP(A15,Dataset!A10:X49,18,FALSE)</f>
        <v>47.9</v>
      </c>
      <c r="E15" s="12">
        <f>VLOOKUP(A15,Dataset!A10:X49,20,FALSE)</f>
        <v>96.8</v>
      </c>
      <c r="F15" s="8">
        <f>VLOOKUP(A15,Dataset!A10:X49,22,FALSE)</f>
        <v>47.9</v>
      </c>
    </row>
    <row r="16" spans="1:7" ht="14.4" x14ac:dyDescent="0.3">
      <c r="A16" s="7" t="s">
        <v>20</v>
      </c>
      <c r="B16" s="12">
        <f>VLOOKUP(A16,Dataset!A11:X50,7,FALSE)</f>
        <v>28.5</v>
      </c>
      <c r="C16" s="12">
        <f>VLOOKUP(A16,Dataset!A12:X50,13,FALSE)</f>
        <v>58.3</v>
      </c>
      <c r="D16" s="12">
        <f>VLOOKUP(A16,Dataset!A11:X50,18,FALSE)</f>
        <v>52.3</v>
      </c>
      <c r="E16" s="12">
        <f>VLOOKUP(A16,Dataset!A11:X50,20,FALSE)</f>
        <v>106.1</v>
      </c>
      <c r="F16" s="8">
        <f>VLOOKUP(A16,Dataset!A11:X50,22,FALSE)</f>
        <v>52.3</v>
      </c>
    </row>
    <row r="17" spans="1:6" ht="14.4" x14ac:dyDescent="0.3">
      <c r="A17" s="7" t="s">
        <v>22</v>
      </c>
      <c r="B17" s="12">
        <f>VLOOKUP(A17,Dataset!A12:X51,7,FALSE)</f>
        <v>30.7</v>
      </c>
      <c r="C17" s="12">
        <f>VLOOKUP(A17,Dataset!A13:X51,13,FALSE)</f>
        <v>62.5</v>
      </c>
      <c r="D17" s="12">
        <f>VLOOKUP(A17,Dataset!A12:X51,18,FALSE)</f>
        <v>57</v>
      </c>
      <c r="E17" s="12">
        <f>VLOOKUP(A17,Dataset!A12:X51,20,FALSE)</f>
        <v>115.1</v>
      </c>
      <c r="F17" s="8">
        <f>VLOOKUP(A17,Dataset!A12:X51,22,FALSE)</f>
        <v>57</v>
      </c>
    </row>
    <row r="18" spans="1:6" ht="14.4" x14ac:dyDescent="0.3">
      <c r="A18" s="7" t="s">
        <v>23</v>
      </c>
      <c r="B18" s="12">
        <f>VLOOKUP(A18,Dataset!A13:X52,7,FALSE)</f>
        <v>33.799999999999997</v>
      </c>
      <c r="C18" s="12">
        <f>VLOOKUP(A18,Dataset!A14:X52,13,FALSE)</f>
        <v>67.900000000000006</v>
      </c>
      <c r="D18" s="12">
        <f>VLOOKUP(A18,Dataset!A13:X52,18,FALSE)</f>
        <v>61.4</v>
      </c>
      <c r="E18" s="12">
        <f>VLOOKUP(A18,Dataset!A13:X52,20,FALSE)</f>
        <v>124.4</v>
      </c>
      <c r="F18" s="8">
        <f>VLOOKUP(A18,Dataset!A13:X52,22,FALSE)</f>
        <v>61.4</v>
      </c>
    </row>
    <row r="19" spans="1:6" ht="14.4" x14ac:dyDescent="0.3">
      <c r="A19" s="7" t="s">
        <v>24</v>
      </c>
      <c r="B19" s="12">
        <f>VLOOKUP(A19,Dataset!A14:X53,7,FALSE)</f>
        <v>34.700000000000003</v>
      </c>
      <c r="C19" s="12">
        <f>VLOOKUP(A19,Dataset!A15:X53,13,FALSE)</f>
        <v>70.8</v>
      </c>
      <c r="D19" s="12">
        <f>VLOOKUP(A19,Dataset!A14:X53,18,FALSE)</f>
        <v>63.6</v>
      </c>
      <c r="E19" s="12">
        <f>VLOOKUP(A19,Dataset!A14:X53,20,FALSE)</f>
        <v>128.6</v>
      </c>
      <c r="F19" s="8">
        <f>VLOOKUP(A19,Dataset!A14:X53,22,FALSE)</f>
        <v>63.6</v>
      </c>
    </row>
    <row r="20" spans="1:6" ht="14.4" x14ac:dyDescent="0.3">
      <c r="A20" s="7" t="s">
        <v>28</v>
      </c>
      <c r="B20" s="12">
        <f>VLOOKUP(A20,Dataset!A15:X54,7,FALSE)</f>
        <v>0</v>
      </c>
      <c r="C20" s="12">
        <f>VLOOKUP(A20,Dataset!A16:X54,13,FALSE)</f>
        <v>0</v>
      </c>
      <c r="D20" s="12">
        <f>VLOOKUP(A20,Dataset!A15:X54,18,FALSE)</f>
        <v>0</v>
      </c>
      <c r="E20" s="12">
        <f>VLOOKUP(A20,Dataset!A15:X54,20,FALSE)</f>
        <v>0</v>
      </c>
      <c r="F20" s="8">
        <f>VLOOKUP(A20,Dataset!A15:X54,22,FALSE)</f>
        <v>0</v>
      </c>
    </row>
    <row r="21" spans="1:6" ht="14.4" x14ac:dyDescent="0.3">
      <c r="A21" s="7" t="s">
        <v>57</v>
      </c>
      <c r="B21" s="12">
        <f>VLOOKUP(A21,Dataset!A16:X55,7,FALSE)</f>
        <v>41.3</v>
      </c>
      <c r="C21" s="12">
        <f>VLOOKUP(A21,Dataset!A17:X55,13,FALSE)</f>
        <v>83.5</v>
      </c>
      <c r="D21" s="12">
        <f>VLOOKUP(A21,Dataset!A16:X55,18,FALSE)</f>
        <v>75</v>
      </c>
      <c r="E21" s="12">
        <f>VLOOKUP(A21,Dataset!A16:X55,20,FALSE)</f>
        <v>151.5</v>
      </c>
      <c r="F21" s="8">
        <f>VLOOKUP(A21,Dataset!A16:X55,22,FALSE)</f>
        <v>75</v>
      </c>
    </row>
    <row r="22" spans="1:6" ht="14.4" x14ac:dyDescent="0.3">
      <c r="A22" s="7" t="s">
        <v>58</v>
      </c>
      <c r="B22" s="12">
        <f>VLOOKUP(A22,Dataset!A17:X56,7,FALSE)</f>
        <v>-1</v>
      </c>
      <c r="C22" s="12">
        <f>VLOOKUP(A22,Dataset!A18:X56,13,FALSE)</f>
        <v>-1</v>
      </c>
      <c r="D22" s="12">
        <f>VLOOKUP(A22,Dataset!A17:X56,18,FALSE)</f>
        <v>-1</v>
      </c>
      <c r="E22" s="12">
        <f>VLOOKUP(A22,Dataset!A17:X56,20,FALSE)</f>
        <v>-1</v>
      </c>
      <c r="F22" s="8">
        <f>VLOOKUP(A22,Dataset!A17:X56,22,FALSE)</f>
        <v>-1</v>
      </c>
    </row>
    <row r="23" spans="1:6" ht="14.4" x14ac:dyDescent="0.3">
      <c r="A23" s="7" t="s">
        <v>31</v>
      </c>
      <c r="B23" s="12">
        <f>VLOOKUP(A23,Dataset!A18:X57,7,FALSE)</f>
        <v>45</v>
      </c>
      <c r="C23" s="12">
        <f>VLOOKUP(A23,Dataset!A19:X57,13,FALSE)</f>
        <v>90.9</v>
      </c>
      <c r="D23" s="12">
        <f>VLOOKUP(A23,Dataset!A18:X57,18,FALSE)</f>
        <v>79.400000000000006</v>
      </c>
      <c r="E23" s="12">
        <f>VLOOKUP(A23,Dataset!A18:X57,20,FALSE)</f>
        <v>160.9</v>
      </c>
      <c r="F23" s="8">
        <f>VLOOKUP(A23,Dataset!A18:X57,22,FALSE)</f>
        <v>79.400000000000006</v>
      </c>
    </row>
    <row r="24" spans="1:6" ht="14.4" x14ac:dyDescent="0.3">
      <c r="A24" s="7" t="s">
        <v>32</v>
      </c>
      <c r="B24" s="12">
        <f>VLOOKUP(A24,Dataset!A19:X58,7,FALSE)</f>
        <v>-1</v>
      </c>
      <c r="C24" s="12">
        <f>VLOOKUP(A24,Dataset!A20:X58,13,FALSE)</f>
        <v>-1</v>
      </c>
      <c r="D24" s="12">
        <f>VLOOKUP(A24,Dataset!A19:X58,18,FALSE)</f>
        <v>-1</v>
      </c>
      <c r="E24" s="12">
        <f>VLOOKUP(A24,Dataset!A19:X58,20,FALSE)</f>
        <v>-1</v>
      </c>
      <c r="F24" s="8">
        <f>VLOOKUP(A24,Dataset!A19:X58,22,FALSE)</f>
        <v>-1</v>
      </c>
    </row>
    <row r="25" spans="1:6" ht="14.4" x14ac:dyDescent="0.3">
      <c r="A25" s="7" t="s">
        <v>34</v>
      </c>
      <c r="B25" s="12">
        <f>VLOOKUP(A25,Dataset!A20:X59,7,FALSE)</f>
        <v>43.3</v>
      </c>
      <c r="C25" s="12">
        <f>VLOOKUP(A25,Dataset!A21:X59,13,FALSE)</f>
        <v>87.6</v>
      </c>
      <c r="D25" s="12">
        <f>VLOOKUP(A25,Dataset!A20:X59,18,FALSE)</f>
        <v>79.400000000000006</v>
      </c>
      <c r="E25" s="12">
        <f>VLOOKUP(A25,Dataset!A20:X59,20,FALSE)</f>
        <v>160.9</v>
      </c>
      <c r="F25" s="8">
        <f>VLOOKUP(A25,Dataset!A20:X59,22,FALSE)</f>
        <v>79.400000000000006</v>
      </c>
    </row>
    <row r="26" spans="1:6" ht="14.4" x14ac:dyDescent="0.3">
      <c r="A26" s="7" t="s">
        <v>37</v>
      </c>
      <c r="B26" s="12">
        <f>VLOOKUP(A26,Dataset!A21:X60,7,FALSE)</f>
        <v>49.1</v>
      </c>
      <c r="C26" s="12">
        <f>VLOOKUP(A26,Dataset!A22:X60,13,FALSE)</f>
        <v>99.5</v>
      </c>
      <c r="D26" s="12">
        <f>VLOOKUP(A26,Dataset!A21:X60,18,FALSE)</f>
        <v>90.9</v>
      </c>
      <c r="E26" s="12">
        <f>VLOOKUP(A26,Dataset!A21:X60,20,FALSE)</f>
        <v>183.5</v>
      </c>
      <c r="F26" s="8">
        <f>VLOOKUP(A26,Dataset!A21:X60,22,FALSE)</f>
        <v>90.9</v>
      </c>
    </row>
    <row r="27" spans="1:6" ht="14.4" x14ac:dyDescent="0.3">
      <c r="A27" s="7" t="s">
        <v>39</v>
      </c>
      <c r="B27" s="12">
        <f>VLOOKUP(A27,Dataset!A22:X61,7,FALSE)</f>
        <v>51.8</v>
      </c>
      <c r="C27" s="12">
        <f>VLOOKUP(A27,Dataset!A23:X61,13,FALSE)</f>
        <v>104.5</v>
      </c>
      <c r="D27" s="12">
        <f>VLOOKUP(A27,Dataset!A22:X61,18,FALSE)</f>
        <v>93.1</v>
      </c>
      <c r="E27" s="12">
        <f>VLOOKUP(A27,Dataset!A22:X61,20,FALSE)</f>
        <v>188.1</v>
      </c>
      <c r="F27" s="8">
        <f>VLOOKUP(A27,Dataset!A22:X61,22,FALSE)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>MAX(C6:C27)</f>
        <v>104.5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>AVERAGE(C7:C27)</f>
        <v>43.966666666666661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H9" sqref="H9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6" t="s">
        <v>189</v>
      </c>
    </row>
    <row r="6" spans="1:10" ht="18" x14ac:dyDescent="0.35">
      <c r="A6" s="43" t="s">
        <v>153</v>
      </c>
      <c r="B6" s="46" t="s">
        <v>177</v>
      </c>
    </row>
    <row r="7" spans="1:10" ht="18" x14ac:dyDescent="0.35">
      <c r="A7" s="43"/>
      <c r="B7" s="46" t="s">
        <v>176</v>
      </c>
    </row>
    <row r="8" spans="1:10" ht="15.6" x14ac:dyDescent="0.3">
      <c r="B8" s="46" t="s">
        <v>190</v>
      </c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11" sqref="E11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183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184</v>
      </c>
    </row>
    <row r="7" spans="1:3" ht="14.4" x14ac:dyDescent="0.3">
      <c r="A7" s="3" t="s">
        <v>153</v>
      </c>
      <c r="B7" s="1" t="s">
        <v>185</v>
      </c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>
        <v>20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>
        <v>20</v>
      </c>
    </row>
    <row r="22" spans="1:3" ht="14.4" x14ac:dyDescent="0.3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7" sqref="C7"/>
    </sheetView>
  </sheetViews>
  <sheetFormatPr defaultColWidth="11" defaultRowHeight="13.8" x14ac:dyDescent="0.3"/>
  <cols>
    <col min="1" max="1" width="31" style="2" customWidth="1"/>
    <col min="2" max="2" width="63.109375" style="2" customWidth="1"/>
    <col min="3" max="3" width="18.6640625" style="2" customWidth="1"/>
    <col min="4" max="16384" width="11" style="2"/>
  </cols>
  <sheetData>
    <row r="1" spans="1:14" ht="21" x14ac:dyDescent="0.4">
      <c r="A1" s="42" t="s">
        <v>98</v>
      </c>
      <c r="B1" s="41" t="s">
        <v>174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 t="s">
        <v>182</v>
      </c>
    </row>
    <row r="5" spans="1:14" ht="48.6" customHeight="1" x14ac:dyDescent="0.35">
      <c r="A5" s="43" t="s">
        <v>153</v>
      </c>
      <c r="B5" s="47" t="s">
        <v>181</v>
      </c>
    </row>
    <row r="6" spans="1:14" ht="57.6" x14ac:dyDescent="0.3">
      <c r="A6" s="3"/>
      <c r="B6" s="47" t="s">
        <v>180</v>
      </c>
    </row>
    <row r="7" spans="1:14" ht="41.4" x14ac:dyDescent="0.3">
      <c r="B7" s="48" t="s">
        <v>179</v>
      </c>
    </row>
    <row r="8" spans="1:14" ht="84.6" x14ac:dyDescent="0.45">
      <c r="A8" s="18" t="s">
        <v>162</v>
      </c>
      <c r="B8" s="48" t="s">
        <v>178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>INDEX($B$10:$J$18, MATCH(VLOOKUP(A23, $M$10:$N$18, 2, 0), $A$10:$A$18), MATCH(VLOOKUP(B23, $M$10:$N$18, 2, 0), $B$9:$J$9))</f>
        <v>95</v>
      </c>
    </row>
    <row r="24" spans="1:14" ht="14.4" x14ac:dyDescent="0.3">
      <c r="A24" s="7">
        <v>10100</v>
      </c>
      <c r="B24" s="12">
        <v>10104</v>
      </c>
      <c r="C24" s="44">
        <f>INDEX($B$10:$J$18, MATCH(VLOOKUP(A24, $M$10:$N$18, 2, 0), $A$10:$A$18), MATCH(VLOOKUP(B24, $M$10:$N$18, 2, 0), $B$9:$J$9))</f>
        <v>-1</v>
      </c>
    </row>
    <row r="25" spans="1:14" ht="14.4" x14ac:dyDescent="0.3">
      <c r="A25" s="7">
        <v>10108</v>
      </c>
      <c r="B25" s="12">
        <v>10102</v>
      </c>
      <c r="C25" s="44">
        <f t="shared" ref="C25:C35" si="0">INDEX($B$10:$J$18, MATCH(VLOOKUP(A25, $M$10:$N$18, 2, 0), $A$10:$A$18), MATCH(VLOOKUP(B25, $M$10:$N$18, 2, 0), $B$9:$J$9))</f>
        <v>160</v>
      </c>
    </row>
    <row r="26" spans="1:14" ht="14.4" x14ac:dyDescent="0.3">
      <c r="A26" s="7">
        <v>10100</v>
      </c>
      <c r="B26" s="12">
        <v>10106</v>
      </c>
      <c r="C26" s="44">
        <f t="shared" si="0"/>
        <v>185</v>
      </c>
    </row>
    <row r="27" spans="1:14" ht="14.4" x14ac:dyDescent="0.3">
      <c r="A27" s="7">
        <v>10108</v>
      </c>
      <c r="B27" s="12">
        <v>10110</v>
      </c>
      <c r="C27" s="44">
        <f t="shared" si="0"/>
        <v>50</v>
      </c>
    </row>
    <row r="28" spans="1:14" ht="14.4" x14ac:dyDescent="0.3">
      <c r="A28" s="7">
        <v>10102</v>
      </c>
      <c r="B28" s="12">
        <v>10104</v>
      </c>
      <c r="C28" s="44">
        <f t="shared" si="0"/>
        <v>-1</v>
      </c>
    </row>
    <row r="29" spans="1:14" ht="14.4" x14ac:dyDescent="0.3">
      <c r="A29" s="7">
        <v>10106</v>
      </c>
      <c r="B29" s="12">
        <v>10108</v>
      </c>
      <c r="C29" s="44">
        <f t="shared" si="0"/>
        <v>70</v>
      </c>
    </row>
    <row r="30" spans="1:14" ht="14.4" x14ac:dyDescent="0.3">
      <c r="A30" s="7">
        <v>10102</v>
      </c>
      <c r="B30" s="12">
        <v>10106</v>
      </c>
      <c r="C30" s="44">
        <f t="shared" si="0"/>
        <v>90</v>
      </c>
    </row>
    <row r="31" spans="1:14" ht="14.4" x14ac:dyDescent="0.3">
      <c r="A31" s="7">
        <v>10110</v>
      </c>
      <c r="B31" s="12">
        <v>10114</v>
      </c>
      <c r="C31" s="44">
        <f t="shared" si="0"/>
        <v>180</v>
      </c>
    </row>
    <row r="32" spans="1:14" ht="14.4" x14ac:dyDescent="0.3">
      <c r="A32" s="7">
        <v>10104</v>
      </c>
      <c r="B32" s="12">
        <v>10106</v>
      </c>
      <c r="C32" s="44">
        <f t="shared" si="0"/>
        <v>60</v>
      </c>
    </row>
    <row r="33" spans="1:3" ht="14.4" x14ac:dyDescent="0.3">
      <c r="A33" s="7">
        <v>10110</v>
      </c>
      <c r="B33" s="12">
        <v>10112</v>
      </c>
      <c r="C33" s="44">
        <f t="shared" si="0"/>
        <v>115</v>
      </c>
    </row>
    <row r="34" spans="1:3" ht="14.4" x14ac:dyDescent="0.3">
      <c r="A34" s="7">
        <v>10100</v>
      </c>
      <c r="B34" s="12">
        <v>10114</v>
      </c>
      <c r="C34" s="44">
        <f t="shared" si="0"/>
        <v>480</v>
      </c>
    </row>
    <row r="35" spans="1:3" ht="14.4" x14ac:dyDescent="0.3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MANSI UNIYAL</cp:lastModifiedBy>
  <dcterms:created xsi:type="dcterms:W3CDTF">2015-02-10T17:33:11Z</dcterms:created>
  <dcterms:modified xsi:type="dcterms:W3CDTF">2023-12-10T13:58:55Z</dcterms:modified>
</cp:coreProperties>
</file>