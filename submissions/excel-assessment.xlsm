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itya\Desktop\MapUp-Data-Assessment-F-main\"/>
    </mc:Choice>
  </mc:AlternateContent>
  <xr:revisionPtr revIDLastSave="0" documentId="13_ncr:1_{CE6FA312-2F85-4092-BE89-77EC0115ED6D}" xr6:coauthVersionLast="47" xr6:coauthVersionMax="47" xr10:uidLastSave="{00000000-0000-0000-0000-000000000000}"/>
  <bookViews>
    <workbookView xWindow="-110" yWindow="-110" windowWidth="25820" windowHeight="155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 a="1"/>
  <c r="C23" i="20" s="1"/>
  <c r="C22" i="19" a="1"/>
  <c r="C22" i="19" s="1"/>
  <c r="C5" i="15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D6" i="18"/>
  <c r="F30" i="18" l="1"/>
  <c r="D30" i="18"/>
  <c r="E29" i="18"/>
  <c r="F28" i="18"/>
  <c r="B29" i="18"/>
  <c r="D29" i="18"/>
  <c r="E30" i="18"/>
  <c r="C30" i="18"/>
  <c r="F29" i="18"/>
  <c r="C29" i="18"/>
  <c r="E28" i="18"/>
  <c r="B28" i="18"/>
  <c r="B30" i="18"/>
  <c r="C28" i="18"/>
  <c r="D28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<sst xmlns="http://schemas.openxmlformats.org/spreadsheetml/2006/main" count="406" uniqueCount="182">
  <si>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</si>
  <si>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</si>
  <si>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</si>
  <si>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</si>
  <si>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</si>
  <si>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</si>
  <si>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</si>
  <si>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</si>
  <si>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</si>
  <si>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</si>
  <si>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</si>
  <si>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</si>
  <si>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</si>
  <si>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</si>
  <si>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</si>
  <si>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</si>
  <si>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</si>
  <si>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</si>
  <si>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</si>
  <si>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</si>
  <si>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</si>
  <si>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</si>
  <si>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</si>
  <si>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</si>
  <si>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</si>
  <si>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</si>
  <si>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</si>
  <si>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</si>
  <si>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</si>
  <si>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</si>
  <si>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</si>
  <si>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</si>
  <si>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</si>
  <si>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</si>
  <si>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</si>
  <si>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</si>
  <si>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</si>
  <si>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</si>
  <si>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</si>
  <si>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</si>
  <si>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</si>
  <si>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</si>
  <si>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</si>
  <si>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</si>
  <si>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</si>
  <si>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</si>
  <si>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</si>
  <si>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</si>
  <si>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</si>
  <si>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</si>
  <si>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</si>
  <si>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</si>
  <si>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</si>
  <si>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</si>
  <si>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</si>
  <si>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</si>
  <si>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</si>
  <si>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</si>
  <si>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</si>
  <si>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</si>
  <si>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</si>
  <si>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</si>
  <si>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</si>
  <si>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</si>
  <si>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</si>
  <si>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</si>
  <si>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</si>
  <si>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</si>
  <si>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</si>
  <si>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</si>
  <si>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</si>
  <si>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</si>
  <si>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</si>
  <si>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</si>
  <si>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</si>
  <si>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</si>
  <si>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</si>
  <si>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</si>
  <si>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</si>
  <si>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</si>
  <si>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</si>
  <si>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</si>
  <si>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</si>
  <si>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</si>
  <si>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</si>
  <si>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</si>
  <si>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</si>
  <si>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</si>
  <si>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</si>
  <si>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</si>
  <si>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</si>
  <si>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</si>
  <si>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</si>
  <si>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</si>
  <si>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</si>
  <si>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</si>
  <si>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</si>
  <si>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</si>
  <si>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</si>
  <si>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</si>
  <si>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</si>
  <si>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</si>
  <si>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</si>
  <si>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</si>
  <si>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</si>
  <si>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</si>
  <si>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</si>
  <si>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</si>
  <si>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</si>
  <si>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</si>
  <si>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</si>
  <si>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</si>
  <si>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</si>
  <si>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</si>
  <si>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</si>
  <si>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</si>
  <si>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</si>
  <si>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</si>
  <si>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</si>
  <si>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</si>
  <si>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</si>
  <si>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</si>
  <si>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</si>
  <si>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</si>
  <si>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</si>
  <si>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</si>
  <si>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</si>
  <si>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</si>
  <si>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</si>
  <si>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</si>
  <si>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</si>
  <si>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</si>
  <si>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</si>
  <si>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</si>
  <si>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</si>
  <si>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</si>
  <si>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</si>
  <si>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</si>
  <si>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</si>
  <si>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</si>
  <si>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</si>
  <si>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</si>
  <si>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</si>
  <si>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</si>
  <si>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</si>
  <si>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</si>
  <si>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</si>
  <si>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</si>
  <si>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</si>
  <si>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</si>
  <si>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</si>
  <si>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</si>
  <si>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</si>
  <si>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</si>
  <si>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</si>
  <si>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</si>
  <si>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</si>
  <si>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</si>
  <si>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</si>
  <si>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</si>
  <si>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</si>
  <si>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</si>
  <si>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</si>
  <si>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</si>
  <si>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</si>
  <si>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</si>
  <si>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</si>
  <si>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</si>
  <si>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</si>
  <si>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</si>
  <si>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</si>
  <si>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</si>
  <si>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</si>
  <si>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</si>
  <si>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</si>
  <si>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</si>
  <si>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done</t>
  </si>
  <si>
    <t>Functionality used "text to column"</t>
  </si>
  <si>
    <t>select the row that you want to split&gt;select data&gt;then go to text to column&gt;select delimited&gt;select other and give delima(-)&gt;destination and next then ok</t>
  </si>
  <si>
    <t>Formula("=SUM(IF(ISNA(C12:C21),20,C12:C21))")</t>
  </si>
  <si>
    <t>Here I used sum and If seperatly we can also use sumif formula where isna will be replace with the value that we want, also we have to give the range</t>
  </si>
  <si>
    <t>Red, Green(done)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</si>
</sst>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ill>
        <patternFill>
          <fgColor rgb="FF00B050"/>
          <bgColor rgb="FF00B050"/>
        </patternFill>
      </fill>
    </dxf>
    <dxf>
      <fill>
        <patternFill>
          <fgColor rgb="FF00B050"/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5" x14ac:dyDescent="0.35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54</v>
      </c>
      <c r="B11" s="36">
        <v>30</v>
      </c>
    </row>
    <row r="12" spans="1:3" x14ac:dyDescent="0.3">
      <c r="A12" s="34" t="s">
        <v>55</v>
      </c>
      <c r="B12" s="36">
        <v>10</v>
      </c>
    </row>
    <row r="13" spans="1:3" x14ac:dyDescent="0.3">
      <c r="A13" s="34" t="s">
        <v>84</v>
      </c>
      <c r="B13" s="36">
        <v>20</v>
      </c>
    </row>
    <row r="14" spans="1:3" x14ac:dyDescent="0.3">
      <c r="A14" s="34" t="s">
        <v>97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="69" zoomScaleNormal="100" workbookViewId="0">
      <pane ySplit="1" topLeftCell="A2" activePane="bottomLeft" state="frozen"/>
      <selection pane="bottomLeft" activeCell="I12" sqref="I1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3" t="s">
        <v>104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45052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45053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45054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45055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45056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45057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45058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45059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45060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45061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45062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45063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45064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45065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45066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45067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45068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45069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45070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45071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45072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45073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45074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45075</v>
      </c>
    </row>
    <row r="27" spans="1:24" x14ac:dyDescent="0.35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45076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45077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45078</v>
      </c>
    </row>
    <row r="30" spans="1:24" x14ac:dyDescent="0.35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45079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45080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45081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45082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45083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45084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45085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45086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45087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45088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45089</v>
      </c>
    </row>
  </sheetData>
  <conditionalFormatting sqref="A1:A1048576">
    <cfRule type="duplicateValues" dxfId="6" priority="9"/>
  </conditionalFormatting>
  <conditionalFormatting sqref="B1:B1048576">
    <cfRule type="duplicateValues" dxfId="5" priority="8"/>
  </conditionalFormatting>
  <conditionalFormatting sqref="A1:X40">
    <cfRule type="colorScale" priority="3">
      <colorScale>
        <cfvo type="num" val="-1"/>
        <cfvo type="num" val="0"/>
        <color rgb="FFF8696B"/>
        <color rgb="FFFCFCFF"/>
      </colorScale>
    </cfRule>
    <cfRule type="cellIs" dxfId="4" priority="6" operator="equal">
      <formula>-1</formula>
    </cfRule>
    <cfRule type="cellIs" dxfId="3" priority="5" operator="equal">
      <formula>0</formula>
    </cfRule>
    <cfRule type="cellIs" dxfId="2" priority="4" operator="equal">
      <formula>0</formula>
    </cfRule>
    <cfRule type="cellIs" dxfId="1" priority="2" operator="equal">
      <formula>0</formula>
    </cfRule>
  </conditionalFormatting>
  <conditionalFormatting sqref="D5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46</v>
      </c>
      <c r="B1" s="4" t="s">
        <v>47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106</v>
      </c>
      <c r="C3" s="2" t="s">
        <v>181</v>
      </c>
      <c r="E3" s="1">
        <v>5</v>
      </c>
    </row>
    <row r="4" spans="1:5" x14ac:dyDescent="0.35">
      <c r="A4" s="6">
        <v>2</v>
      </c>
      <c r="B4" s="2" t="s">
        <v>45</v>
      </c>
      <c r="C4" s="2" t="s">
        <v>176</v>
      </c>
      <c r="E4" s="1">
        <v>5</v>
      </c>
    </row>
    <row r="5" spans="1:5" x14ac:dyDescent="0.35">
      <c r="A5" s="6">
        <v>3</v>
      </c>
      <c r="B5" s="2" t="s">
        <v>103</v>
      </c>
      <c r="C5" s="33">
        <f>SUMIF(Dataset!H2:H40,"&gt;20",Dataset!H2:H40)</f>
        <v>1473.0000000000002</v>
      </c>
      <c r="E5" s="1">
        <v>10</v>
      </c>
    </row>
    <row r="6" spans="1:5" x14ac:dyDescent="0.35">
      <c r="A6" s="6">
        <v>4</v>
      </c>
      <c r="B6" s="2" t="s">
        <v>105</v>
      </c>
      <c r="C6" s="2" t="s">
        <v>176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28" sqref="F28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54</v>
      </c>
      <c r="B1" s="40" t="s">
        <v>163</v>
      </c>
    </row>
    <row r="2" spans="1:7" s="40" customFormat="1" ht="21" x14ac:dyDescent="0.5">
      <c r="B2" s="40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7" ht="14.5" x14ac:dyDescent="0.35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5" x14ac:dyDescent="0.35">
      <c r="A6" s="7" t="s">
        <v>40</v>
      </c>
      <c r="B6" s="11">
        <f>VLOOKUP(A6,Dataset!A1:X40,7,0)</f>
        <v>2.7</v>
      </c>
      <c r="C6" s="11">
        <f>VLOOKUP(A6,Dataset!A1:X40,14,0)</f>
        <v>7.6</v>
      </c>
      <c r="D6" s="11">
        <f>VLOOKUP(A6,Dataset!A1:X40,18,0)</f>
        <v>4.2</v>
      </c>
      <c r="E6" s="11">
        <f>VLOOKUP(A6,Dataset!A1:X40,20,0)</f>
        <v>8.9</v>
      </c>
      <c r="F6" s="11">
        <f>VLOOKUP(A6,Dataset!A1:X40,22,0)</f>
        <v>4.2</v>
      </c>
    </row>
    <row r="7" spans="1:7" ht="14.5" x14ac:dyDescent="0.35">
      <c r="A7" s="7" t="s">
        <v>4</v>
      </c>
      <c r="B7" s="11">
        <f>VLOOKUP(A7,Dataset!A2:X41,7,0)</f>
        <v>2.7</v>
      </c>
      <c r="C7" s="11">
        <f>VLOOKUP(A7,Dataset!A2:X41,14,0)</f>
        <v>7.6</v>
      </c>
      <c r="D7" s="11">
        <f>VLOOKUP(A7,Dataset!A2:X41,18,0)</f>
        <v>4.2</v>
      </c>
      <c r="E7" s="11">
        <f>VLOOKUP(A7,Dataset!A2:X41,20,0)</f>
        <v>8.9</v>
      </c>
      <c r="F7" s="11">
        <f>VLOOKUP(A7,Dataset!A2:X41,22,0)</f>
        <v>4.2</v>
      </c>
    </row>
    <row r="8" spans="1:7" ht="14.5" x14ac:dyDescent="0.35">
      <c r="A8" s="7" t="s">
        <v>7</v>
      </c>
      <c r="B8" s="11">
        <f>VLOOKUP(A8,Dataset!A3:X42,7,0)</f>
        <v>3.6</v>
      </c>
      <c r="C8" s="11">
        <f>VLOOKUP(A8,Dataset!A3:X42,14,0)</f>
        <v>11.1</v>
      </c>
      <c r="D8" s="11">
        <f>VLOOKUP(A8,Dataset!A3:X42,18,0)</f>
        <v>5.8</v>
      </c>
      <c r="E8" s="11">
        <f>VLOOKUP(A8,Dataset!A3:X42,20,0)</f>
        <v>12.2</v>
      </c>
      <c r="F8" s="11">
        <f>VLOOKUP(A8,Dataset!A3:X42,22,0)</f>
        <v>5.8</v>
      </c>
    </row>
    <row r="9" spans="1:7" ht="14.5" x14ac:dyDescent="0.35">
      <c r="A9" s="7" t="s">
        <v>8</v>
      </c>
      <c r="B9" s="11">
        <f>VLOOKUP(A9,Dataset!A4:X43,7,0)</f>
        <v>4.9000000000000004</v>
      </c>
      <c r="C9" s="11">
        <f>VLOOKUP(A9,Dataset!A4:X43,14,0)</f>
        <v>13.3</v>
      </c>
      <c r="D9" s="11">
        <f>VLOOKUP(A9,Dataset!A4:X43,18,0)</f>
        <v>8.1</v>
      </c>
      <c r="E9" s="11">
        <f>VLOOKUP(A9,Dataset!A4:X43,20,0)</f>
        <v>17</v>
      </c>
      <c r="F9" s="11">
        <f>VLOOKUP(A9,Dataset!A4:X43,22,0)</f>
        <v>8.1</v>
      </c>
    </row>
    <row r="10" spans="1:7" ht="14.5" x14ac:dyDescent="0.35">
      <c r="A10" s="7" t="s">
        <v>11</v>
      </c>
      <c r="B10" s="11">
        <f>VLOOKUP(A10,Dataset!A5:X44,7,0)</f>
        <v>9.4</v>
      </c>
      <c r="C10" s="11">
        <f>VLOOKUP(A10,Dataset!A5:X44,14,0)</f>
        <v>28.3</v>
      </c>
      <c r="D10" s="11">
        <f>VLOOKUP(A10,Dataset!A5:X44,18,0)</f>
        <v>16.100000000000001</v>
      </c>
      <c r="E10" s="11">
        <f>VLOOKUP(A10,Dataset!A5:X44,20,0)</f>
        <v>32.799999999999997</v>
      </c>
      <c r="F10" s="11">
        <f>VLOOKUP(A10,Dataset!A5:X44,22,0)</f>
        <v>16.100000000000001</v>
      </c>
    </row>
    <row r="11" spans="1:7" ht="14.5" x14ac:dyDescent="0.35">
      <c r="A11" s="7" t="s">
        <v>12</v>
      </c>
      <c r="B11" s="11">
        <f>VLOOKUP(A11,Dataset!A6:X45,7,0)</f>
        <v>11.6</v>
      </c>
      <c r="C11" s="11">
        <f>VLOOKUP(A11,Dataset!A6:X45,14,0)</f>
        <v>35.200000000000003</v>
      </c>
      <c r="D11" s="11">
        <f>VLOOKUP(A11,Dataset!A6:X45,18,0)</f>
        <v>21.3</v>
      </c>
      <c r="E11" s="11">
        <f>VLOOKUP(A11,Dataset!A6:X45,20,0)</f>
        <v>43</v>
      </c>
      <c r="F11" s="11">
        <f>VLOOKUP(A11,Dataset!A6:X45,22,0)</f>
        <v>21.3</v>
      </c>
    </row>
    <row r="12" spans="1:7" ht="14.5" x14ac:dyDescent="0.35">
      <c r="A12" s="7" t="s">
        <v>14</v>
      </c>
      <c r="B12" s="11">
        <f>VLOOKUP(A12,Dataset!A7:X46,7,0)</f>
        <v>18.399999999999999</v>
      </c>
      <c r="C12" s="11">
        <f>VLOOKUP(A12,Dataset!A7:X46,14,0)</f>
        <v>55.6</v>
      </c>
      <c r="D12" s="11">
        <f>VLOOKUP(A12,Dataset!A7:X46,18,0)</f>
        <v>33.799999999999997</v>
      </c>
      <c r="E12" s="11">
        <f>VLOOKUP(A12,Dataset!A7:X46,20,0)</f>
        <v>67.900000000000006</v>
      </c>
      <c r="F12" s="11">
        <f>VLOOKUP(A12,Dataset!A7:X46,22,0)</f>
        <v>33.799999999999997</v>
      </c>
    </row>
    <row r="13" spans="1:7" ht="14.5" x14ac:dyDescent="0.35">
      <c r="A13" s="7" t="s">
        <v>15</v>
      </c>
      <c r="B13" s="11">
        <f>VLOOKUP(A13,Dataset!A8:X47,7,0)</f>
        <v>0</v>
      </c>
      <c r="C13" s="11">
        <f>VLOOKUP(A13,Dataset!A8:X47,14,0)</f>
        <v>0</v>
      </c>
      <c r="D13" s="11">
        <f>VLOOKUP(A13,Dataset!A8:X47,18,0)</f>
        <v>0</v>
      </c>
      <c r="E13" s="11">
        <f>VLOOKUP(A13,Dataset!A8:X47,20,0)</f>
        <v>0</v>
      </c>
      <c r="F13" s="11">
        <f>VLOOKUP(A13,Dataset!A8:X47,22,0)</f>
        <v>0</v>
      </c>
    </row>
    <row r="14" spans="1:7" ht="14.5" x14ac:dyDescent="0.35">
      <c r="A14" s="7" t="s">
        <v>16</v>
      </c>
      <c r="B14" s="11">
        <f>VLOOKUP(A14,Dataset!A9:X48,7,0)</f>
        <v>21.9</v>
      </c>
      <c r="C14" s="11">
        <f>VLOOKUP(A14,Dataset!A9:X48,14,0)</f>
        <v>61.5</v>
      </c>
      <c r="D14" s="11">
        <f>VLOOKUP(A14,Dataset!A9:X48,18,0)</f>
        <v>40.1</v>
      </c>
      <c r="E14" s="11">
        <f>VLOOKUP(A14,Dataset!A9:X48,20,0)</f>
        <v>76.599999999999994</v>
      </c>
      <c r="F14" s="11">
        <f>VLOOKUP(A14,Dataset!A9:X48,22,0)</f>
        <v>40.1</v>
      </c>
    </row>
    <row r="15" spans="1:7" ht="14.5" x14ac:dyDescent="0.35">
      <c r="A15" s="7" t="s">
        <v>18</v>
      </c>
      <c r="B15" s="11">
        <f>VLOOKUP(A15,Dataset!A10:X49,7,0)</f>
        <v>26.8</v>
      </c>
      <c r="C15" s="11">
        <f>VLOOKUP(A15,Dataset!A10:X49,14,0)</f>
        <v>79.599999999999994</v>
      </c>
      <c r="D15" s="11">
        <f>VLOOKUP(A15,Dataset!A10:X49,18,0)</f>
        <v>47.9</v>
      </c>
      <c r="E15" s="11">
        <f>VLOOKUP(A15,Dataset!A10:X49,20,0)</f>
        <v>96.8</v>
      </c>
      <c r="F15" s="11">
        <f>VLOOKUP(A15,Dataset!A10:X49,22,0)</f>
        <v>47.9</v>
      </c>
    </row>
    <row r="16" spans="1:7" ht="14.5" x14ac:dyDescent="0.35">
      <c r="A16" s="7" t="s">
        <v>20</v>
      </c>
      <c r="B16" s="11">
        <f>VLOOKUP(A16,Dataset!A11:X50,7,0)</f>
        <v>28.5</v>
      </c>
      <c r="C16" s="11">
        <f>VLOOKUP(A16,Dataset!A11:X50,14,0)</f>
        <v>85.4</v>
      </c>
      <c r="D16" s="11">
        <f>VLOOKUP(A16,Dataset!A11:X50,18,0)</f>
        <v>52.3</v>
      </c>
      <c r="E16" s="11">
        <f>VLOOKUP(A16,Dataset!A11:X50,20,0)</f>
        <v>106.1</v>
      </c>
      <c r="F16" s="11">
        <f>VLOOKUP(A16,Dataset!A11:X50,22,0)</f>
        <v>52.3</v>
      </c>
    </row>
    <row r="17" spans="1:6" ht="14.5" x14ac:dyDescent="0.35">
      <c r="A17" s="7" t="s">
        <v>22</v>
      </c>
      <c r="B17" s="11">
        <f>VLOOKUP(A17,Dataset!A12:X51,7,0)</f>
        <v>30.7</v>
      </c>
      <c r="C17" s="11">
        <f>VLOOKUP(A17,Dataset!A12:X51,14,0)</f>
        <v>92.1</v>
      </c>
      <c r="D17" s="11">
        <f>VLOOKUP(A17,Dataset!A12:X51,18,0)</f>
        <v>57</v>
      </c>
      <c r="E17" s="11">
        <f>VLOOKUP(A17,Dataset!A12:X51,20,0)</f>
        <v>115.1</v>
      </c>
      <c r="F17" s="11">
        <f>VLOOKUP(A17,Dataset!A12:X51,22,0)</f>
        <v>57</v>
      </c>
    </row>
    <row r="18" spans="1:6" ht="14.5" x14ac:dyDescent="0.35">
      <c r="A18" s="7" t="s">
        <v>23</v>
      </c>
      <c r="B18" s="11">
        <f>VLOOKUP(A18,Dataset!A13:X52,7,0)</f>
        <v>33.799999999999997</v>
      </c>
      <c r="C18" s="11">
        <f>VLOOKUP(A18,Dataset!A13:X52,14,0)</f>
        <v>101.3</v>
      </c>
      <c r="D18" s="11">
        <f>VLOOKUP(A18,Dataset!A13:X52,18,0)</f>
        <v>61.4</v>
      </c>
      <c r="E18" s="11">
        <f>VLOOKUP(A18,Dataset!A13:X52,20,0)</f>
        <v>124.4</v>
      </c>
      <c r="F18" s="11">
        <f>VLOOKUP(A18,Dataset!A13:X52,22,0)</f>
        <v>61.4</v>
      </c>
    </row>
    <row r="19" spans="1:6" ht="14.5" x14ac:dyDescent="0.35">
      <c r="A19" s="7" t="s">
        <v>24</v>
      </c>
      <c r="B19" s="11">
        <f>VLOOKUP(A19,Dataset!A14:X53,7,0)</f>
        <v>34.700000000000003</v>
      </c>
      <c r="C19" s="11">
        <f>VLOOKUP(A19,Dataset!A14:X53,14,0)</f>
        <v>106.1</v>
      </c>
      <c r="D19" s="11">
        <f>VLOOKUP(A19,Dataset!A14:X53,18,0)</f>
        <v>63.6</v>
      </c>
      <c r="E19" s="11">
        <f>VLOOKUP(A19,Dataset!A14:X53,20,0)</f>
        <v>128.6</v>
      </c>
      <c r="F19" s="11">
        <f>VLOOKUP(A19,Dataset!A14:X53,22,0)</f>
        <v>63.6</v>
      </c>
    </row>
    <row r="20" spans="1:6" ht="14.5" x14ac:dyDescent="0.35">
      <c r="A20" s="7" t="s">
        <v>28</v>
      </c>
      <c r="B20" s="11">
        <f>VLOOKUP(A20,Dataset!A15:X54,7,0)</f>
        <v>0</v>
      </c>
      <c r="C20" s="11">
        <f>VLOOKUP(A20,Dataset!A15:X54,14,0)</f>
        <v>0</v>
      </c>
      <c r="D20" s="11">
        <f>VLOOKUP(A20,Dataset!A15:X54,18,0)</f>
        <v>0</v>
      </c>
      <c r="E20" s="11">
        <f>VLOOKUP(A20,Dataset!A15:X54,20,0)</f>
        <v>0</v>
      </c>
      <c r="F20" s="11">
        <f>VLOOKUP(A20,Dataset!A15:X54,22,0)</f>
        <v>0</v>
      </c>
    </row>
    <row r="21" spans="1:6" ht="14.5" x14ac:dyDescent="0.35">
      <c r="A21" s="7" t="s">
        <v>56</v>
      </c>
      <c r="B21" s="11">
        <f>VLOOKUP(A21,Dataset!A16:X55,7,0)</f>
        <v>41.3</v>
      </c>
      <c r="C21" s="11">
        <f>VLOOKUP(A21,Dataset!A16:X55,14,0)</f>
        <v>124.4</v>
      </c>
      <c r="D21" s="11">
        <f>VLOOKUP(A21,Dataset!A16:X55,18,0)</f>
        <v>75</v>
      </c>
      <c r="E21" s="11">
        <f>VLOOKUP(A21,Dataset!A16:X55,20,0)</f>
        <v>151.5</v>
      </c>
      <c r="F21" s="11">
        <f>VLOOKUP(A21,Dataset!A16:X55,22,0)</f>
        <v>75</v>
      </c>
    </row>
    <row r="22" spans="1:6" ht="14.5" x14ac:dyDescent="0.35">
      <c r="A22" s="7" t="s">
        <v>57</v>
      </c>
      <c r="B22" s="11">
        <f>VLOOKUP(A22,Dataset!A17:X56,7,0)</f>
        <v>-1</v>
      </c>
      <c r="C22" s="11">
        <f>VLOOKUP(A22,Dataset!A17:X56,14,0)</f>
        <v>-1</v>
      </c>
      <c r="D22" s="11">
        <f>VLOOKUP(A22,Dataset!A17:X56,18,0)</f>
        <v>-1</v>
      </c>
      <c r="E22" s="11">
        <f>VLOOKUP(A22,Dataset!A17:X56,20,0)</f>
        <v>-1</v>
      </c>
      <c r="F22" s="11">
        <f>VLOOKUP(A22,Dataset!A17:X56,22,0)</f>
        <v>-1</v>
      </c>
    </row>
    <row r="23" spans="1:6" ht="14.5" x14ac:dyDescent="0.35">
      <c r="A23" s="7" t="s">
        <v>31</v>
      </c>
      <c r="B23" s="11">
        <f>VLOOKUP(A23,Dataset!A18:X57,7,0)</f>
        <v>45</v>
      </c>
      <c r="C23" s="11">
        <f>VLOOKUP(A23,Dataset!A18:X57,14,0)</f>
        <v>133.4</v>
      </c>
      <c r="D23" s="11">
        <f>VLOOKUP(A23,Dataset!A18:X57,18,0)</f>
        <v>79.400000000000006</v>
      </c>
      <c r="E23" s="11">
        <f>VLOOKUP(A23,Dataset!A18:X57,20,0)</f>
        <v>160.9</v>
      </c>
      <c r="F23" s="11">
        <f>VLOOKUP(A23,Dataset!A18:X57,22,0)</f>
        <v>79.400000000000006</v>
      </c>
    </row>
    <row r="24" spans="1:6" ht="14.5" x14ac:dyDescent="0.35">
      <c r="A24" s="7" t="s">
        <v>32</v>
      </c>
      <c r="B24" s="11">
        <f>VLOOKUP(A24,Dataset!A19:X58,7,0)</f>
        <v>-1</v>
      </c>
      <c r="C24" s="11">
        <f>VLOOKUP(A24,Dataset!A19:X58,14,0)</f>
        <v>-1</v>
      </c>
      <c r="D24" s="11">
        <f>VLOOKUP(A24,Dataset!A19:X58,18,0)</f>
        <v>-1</v>
      </c>
      <c r="E24" s="11">
        <f>VLOOKUP(A24,Dataset!A19:X58,20,0)</f>
        <v>-1</v>
      </c>
      <c r="F24" s="11">
        <f>VLOOKUP(A24,Dataset!A19:X58,22,0)</f>
        <v>-1</v>
      </c>
    </row>
    <row r="25" spans="1:6" ht="14.5" x14ac:dyDescent="0.35">
      <c r="A25" s="7" t="s">
        <v>34</v>
      </c>
      <c r="B25" s="11">
        <f>VLOOKUP(A25,Dataset!A20:X59,7,0)</f>
        <v>43.3</v>
      </c>
      <c r="C25" s="11">
        <f>VLOOKUP(A25,Dataset!A20:X59,14,0)</f>
        <v>128.6</v>
      </c>
      <c r="D25" s="11">
        <f>VLOOKUP(A25,Dataset!A20:X59,18,0)</f>
        <v>79.400000000000006</v>
      </c>
      <c r="E25" s="11">
        <f>VLOOKUP(A25,Dataset!A20:X59,20,0)</f>
        <v>160.9</v>
      </c>
      <c r="F25" s="11">
        <f>VLOOKUP(A25,Dataset!A20:X59,22,0)</f>
        <v>79.400000000000006</v>
      </c>
    </row>
    <row r="26" spans="1:6" ht="14.5" x14ac:dyDescent="0.35">
      <c r="A26" s="7" t="s">
        <v>37</v>
      </c>
      <c r="B26" s="11">
        <f>VLOOKUP(A26,Dataset!A21:X60,7,0)</f>
        <v>49.1</v>
      </c>
      <c r="C26" s="11">
        <f>VLOOKUP(A26,Dataset!A21:X60,14,0)</f>
        <v>146.80000000000001</v>
      </c>
      <c r="D26" s="11">
        <f>VLOOKUP(A26,Dataset!A21:X60,18,0)</f>
        <v>90.9</v>
      </c>
      <c r="E26" s="11">
        <f>VLOOKUP(A26,Dataset!A21:X60,20,0)</f>
        <v>183.5</v>
      </c>
      <c r="F26" s="11">
        <f>VLOOKUP(A26,Dataset!A21:X60,22,0)</f>
        <v>90.9</v>
      </c>
    </row>
    <row r="27" spans="1:6" ht="14.5" x14ac:dyDescent="0.35">
      <c r="A27" s="7" t="s">
        <v>39</v>
      </c>
      <c r="B27" s="11">
        <f>VLOOKUP(A27,Dataset!A22:X61,7,0)</f>
        <v>51.8</v>
      </c>
      <c r="C27" s="11">
        <f>VLOOKUP(A27,Dataset!A22:X61,14,0)</f>
        <v>156.4</v>
      </c>
      <c r="D27" s="11">
        <f>VLOOKUP(A27,Dataset!A22:X61,18,0)</f>
        <v>93.1</v>
      </c>
      <c r="E27" s="11">
        <f>VLOOKUP(A27,Dataset!A22:X61,20,0)</f>
        <v>188.1</v>
      </c>
      <c r="F27" s="11">
        <f>VLOOKUP(A27,Dataset!A22:X61,22,0)</f>
        <v>93.1</v>
      </c>
    </row>
    <row r="28" spans="1:6" ht="14.5" x14ac:dyDescent="0.35">
      <c r="A28" s="18" t="s">
        <v>81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82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83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24" sqref="I24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55</v>
      </c>
      <c r="B1" s="40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2" t="s">
        <v>52</v>
      </c>
      <c r="B5" s="39" t="s">
        <v>177</v>
      </c>
    </row>
    <row r="6" spans="1:10" ht="18.5" x14ac:dyDescent="0.45">
      <c r="A6" s="42" t="s">
        <v>152</v>
      </c>
      <c r="B6" s="39" t="s">
        <v>178</v>
      </c>
    </row>
    <row r="7" spans="1:10" ht="18.5" x14ac:dyDescent="0.45">
      <c r="A7" s="42"/>
      <c r="B7" s="39"/>
    </row>
    <row r="9" spans="1:10" ht="23.5" x14ac:dyDescent="0.55000000000000004">
      <c r="A9" s="17" t="s">
        <v>164</v>
      </c>
      <c r="I9" s="2"/>
      <c r="J9" s="2"/>
    </row>
    <row r="10" spans="1:10" x14ac:dyDescent="0.35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35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161</v>
      </c>
    </row>
    <row r="15" spans="1:10" x14ac:dyDescent="0.35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35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84</v>
      </c>
      <c r="B1" s="40" t="s">
        <v>166</v>
      </c>
    </row>
    <row r="2" spans="1:3" ht="18.5" x14ac:dyDescent="0.45">
      <c r="B2" s="39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52</v>
      </c>
      <c r="B6" s="1" t="s">
        <v>179</v>
      </c>
    </row>
    <row r="7" spans="1:3" ht="14.5" x14ac:dyDescent="0.35">
      <c r="A7" s="3" t="s">
        <v>152</v>
      </c>
      <c r="B7" s="1" t="s">
        <v>180</v>
      </c>
    </row>
    <row r="10" spans="1:3" ht="23.5" x14ac:dyDescent="0.55000000000000004">
      <c r="A10" s="17" t="s">
        <v>161</v>
      </c>
    </row>
    <row r="11" spans="1:3" ht="14.5" x14ac:dyDescent="0.35">
      <c r="A11" s="31" t="s">
        <v>85</v>
      </c>
      <c r="B11" s="16" t="s">
        <v>86</v>
      </c>
      <c r="C11" s="16" t="s">
        <v>87</v>
      </c>
    </row>
    <row r="12" spans="1:3" ht="14.5" x14ac:dyDescent="0.35">
      <c r="A12" s="31">
        <v>44927</v>
      </c>
      <c r="B12" s="16" t="s">
        <v>58</v>
      </c>
      <c r="C12" s="16">
        <v>200</v>
      </c>
    </row>
    <row r="13" spans="1:3" ht="14.5" x14ac:dyDescent="0.35">
      <c r="A13" s="31">
        <v>44928</v>
      </c>
      <c r="B13" s="16" t="s">
        <v>59</v>
      </c>
      <c r="C13" s="16" t="e">
        <v>#N/A</v>
      </c>
    </row>
    <row r="14" spans="1:3" ht="14.5" x14ac:dyDescent="0.35">
      <c r="A14" s="31">
        <v>44929</v>
      </c>
      <c r="B14" s="16" t="s">
        <v>60</v>
      </c>
      <c r="C14" s="16">
        <v>50</v>
      </c>
    </row>
    <row r="15" spans="1:3" ht="14.5" x14ac:dyDescent="0.35">
      <c r="A15" s="31">
        <v>44930</v>
      </c>
      <c r="B15" s="16" t="s">
        <v>61</v>
      </c>
      <c r="C15" s="16" t="e">
        <v>#N/A</v>
      </c>
    </row>
    <row r="16" spans="1:3" ht="14.5" x14ac:dyDescent="0.35">
      <c r="A16" s="31">
        <v>44931</v>
      </c>
      <c r="B16" s="16" t="s">
        <v>62</v>
      </c>
      <c r="C16" s="16">
        <v>10</v>
      </c>
    </row>
    <row r="17" spans="1:3" ht="14.5" x14ac:dyDescent="0.35">
      <c r="A17" s="31">
        <v>44932</v>
      </c>
      <c r="B17" s="16" t="s">
        <v>153</v>
      </c>
      <c r="C17" s="16">
        <v>150</v>
      </c>
    </row>
    <row r="18" spans="1:3" ht="14.5" x14ac:dyDescent="0.35">
      <c r="A18" s="31">
        <v>44933</v>
      </c>
      <c r="B18" s="16" t="s">
        <v>154</v>
      </c>
      <c r="C18" s="16">
        <v>80</v>
      </c>
    </row>
    <row r="19" spans="1:3" ht="14.5" x14ac:dyDescent="0.35">
      <c r="A19" s="31">
        <v>44934</v>
      </c>
      <c r="B19" s="16" t="s">
        <v>155</v>
      </c>
      <c r="C19" s="16" t="e">
        <v>#N/A</v>
      </c>
    </row>
    <row r="20" spans="1:3" ht="14.5" x14ac:dyDescent="0.35">
      <c r="A20" s="31">
        <v>44935</v>
      </c>
      <c r="B20" s="16" t="s">
        <v>156</v>
      </c>
      <c r="C20" s="16">
        <v>30</v>
      </c>
    </row>
    <row r="21" spans="1:3" ht="14.5" x14ac:dyDescent="0.35">
      <c r="A21" s="31">
        <v>44936</v>
      </c>
      <c r="B21" s="16" t="s">
        <v>157</v>
      </c>
      <c r="C21" s="16" t="e">
        <v>#N/A</v>
      </c>
    </row>
    <row r="22" spans="1:3" ht="14.5" x14ac:dyDescent="0.35">
      <c r="B22" s="16" t="s">
        <v>158</v>
      </c>
      <c r="C22" s="24" cm="1">
        <f t="array" ref="C22">SUM(IF(ISNA(C12:C21),20,C12:C21))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6"/>
  <sheetViews>
    <sheetView tabSelected="1" topLeftCell="A5" zoomScaleNormal="100" workbookViewId="0">
      <selection activeCell="C36" sqref="C36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97</v>
      </c>
      <c r="B1" s="40" t="s">
        <v>174</v>
      </c>
    </row>
    <row r="3" spans="1:14" ht="14.5" x14ac:dyDescent="0.35">
      <c r="B3" s="1" t="s">
        <v>150</v>
      </c>
    </row>
    <row r="4" spans="1:14" ht="18.5" x14ac:dyDescent="0.45">
      <c r="A4" s="42" t="s">
        <v>52</v>
      </c>
      <c r="B4" s="1"/>
    </row>
    <row r="5" spans="1:14" ht="18.5" x14ac:dyDescent="0.45">
      <c r="A5" s="42" t="s">
        <v>152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5" x14ac:dyDescent="0.35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5" x14ac:dyDescent="0.35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5" x14ac:dyDescent="0.35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5" x14ac:dyDescent="0.35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5" x14ac:dyDescent="0.35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5" x14ac:dyDescent="0.35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5" x14ac:dyDescent="0.35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5" x14ac:dyDescent="0.35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5" x14ac:dyDescent="0.35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5" x14ac:dyDescent="0.55000000000000004">
      <c r="A21" s="17" t="s">
        <v>167</v>
      </c>
    </row>
    <row r="22" spans="1:14" ht="14.5" x14ac:dyDescent="0.35">
      <c r="A22" s="13" t="s">
        <v>99</v>
      </c>
      <c r="B22" s="16" t="s">
        <v>100</v>
      </c>
      <c r="C22" s="15" t="s">
        <v>101</v>
      </c>
    </row>
    <row r="23" spans="1:14" ht="14.5" x14ac:dyDescent="0.35">
      <c r="A23" s="7">
        <v>10100</v>
      </c>
      <c r="B23" s="11">
        <v>10102</v>
      </c>
      <c r="C23" s="43" t="e" cm="1">
        <f t="array" ref="C23:C36">IF(AND(A22:A35 &lt;&gt; "", B22:B35 &lt;&gt; ""), CONCATENATE(VLOOKUP(A22:A35, M9:M18, N9:N18, FALSE), " ", VLOOKUP(B22:B35, M9:M18, N9:N18, FALSE)), "")</f>
        <v>#N/A</v>
      </c>
    </row>
    <row r="24" spans="1:14" ht="14.5" x14ac:dyDescent="0.35">
      <c r="A24" s="7">
        <v>10100</v>
      </c>
      <c r="B24" s="11">
        <v>10104</v>
      </c>
      <c r="C24" s="43" t="e">
        <v>#REF!</v>
      </c>
    </row>
    <row r="25" spans="1:14" ht="14.5" x14ac:dyDescent="0.35">
      <c r="A25" s="7">
        <v>10108</v>
      </c>
      <c r="B25" s="11">
        <v>10102</v>
      </c>
      <c r="C25" s="43" t="e">
        <v>#REF!</v>
      </c>
    </row>
    <row r="26" spans="1:14" ht="14.5" x14ac:dyDescent="0.35">
      <c r="A26" s="7">
        <v>10100</v>
      </c>
      <c r="B26" s="11">
        <v>10106</v>
      </c>
      <c r="C26" s="43" t="e">
        <v>#REF!</v>
      </c>
    </row>
    <row r="27" spans="1:14" ht="14.5" x14ac:dyDescent="0.35">
      <c r="A27" s="7">
        <v>10108</v>
      </c>
      <c r="B27" s="11">
        <v>10110</v>
      </c>
      <c r="C27" s="43" t="e">
        <v>#REF!</v>
      </c>
    </row>
    <row r="28" spans="1:14" ht="14.5" x14ac:dyDescent="0.35">
      <c r="A28" s="7">
        <v>10102</v>
      </c>
      <c r="B28" s="11">
        <v>10104</v>
      </c>
      <c r="C28" s="43" t="e">
        <v>#REF!</v>
      </c>
    </row>
    <row r="29" spans="1:14" ht="14.5" x14ac:dyDescent="0.35">
      <c r="A29" s="7">
        <v>10106</v>
      </c>
      <c r="B29" s="11">
        <v>10108</v>
      </c>
      <c r="C29" s="43" t="e">
        <v>#REF!</v>
      </c>
    </row>
    <row r="30" spans="1:14" ht="14.5" x14ac:dyDescent="0.35">
      <c r="A30" s="7">
        <v>10102</v>
      </c>
      <c r="B30" s="11">
        <v>10106</v>
      </c>
      <c r="C30" s="43" t="e">
        <v>#REF!</v>
      </c>
    </row>
    <row r="31" spans="1:14" ht="14.5" x14ac:dyDescent="0.35">
      <c r="A31" s="7">
        <v>10110</v>
      </c>
      <c r="B31" s="11">
        <v>10114</v>
      </c>
      <c r="C31" s="43" t="e">
        <v>#REF!</v>
      </c>
    </row>
    <row r="32" spans="1:14" ht="14.5" x14ac:dyDescent="0.35">
      <c r="A32" s="7">
        <v>10104</v>
      </c>
      <c r="B32" s="11">
        <v>10106</v>
      </c>
      <c r="C32" s="43" t="e">
        <v>#REF!</v>
      </c>
    </row>
    <row r="33" spans="1:3" ht="14.5" x14ac:dyDescent="0.35">
      <c r="A33" s="7">
        <v>10110</v>
      </c>
      <c r="B33" s="11">
        <v>10112</v>
      </c>
      <c r="C33" s="43" t="e">
        <v>#REF!</v>
      </c>
    </row>
    <row r="34" spans="1:3" ht="14.5" x14ac:dyDescent="0.35">
      <c r="A34" s="7">
        <v>10100</v>
      </c>
      <c r="B34" s="11">
        <v>10114</v>
      </c>
      <c r="C34" s="43" t="e">
        <v>#REF!</v>
      </c>
    </row>
    <row r="35" spans="1:3" ht="14.5" x14ac:dyDescent="0.35">
      <c r="A35" s="8">
        <v>10112</v>
      </c>
      <c r="B35" s="12">
        <v>10116</v>
      </c>
      <c r="C35" s="43" t="e">
        <v>#REF!</v>
      </c>
    </row>
    <row r="36" spans="1:3" x14ac:dyDescent="0.3">
      <c r="C36" s="2" t="e"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Aditya Prakash</cp:lastModifiedBy>
  <dcterms:created xsi:type="dcterms:W3CDTF">2015-02-10T17:33:11Z</dcterms:created>
  <dcterms:modified xsi:type="dcterms:W3CDTF">2023-12-09T07:05:33Z</dcterms:modified>
</cp:coreProperties>
</file>