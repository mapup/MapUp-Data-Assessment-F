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shu\Desktop\Assesement\MapUp-Data-Assessment-F\submissions\"/>
    </mc:Choice>
  </mc:AlternateContent>
  <xr:revisionPtr revIDLastSave="0" documentId="13_ncr:1_{F8220184-F5E3-4B61-8B1B-4294ABF2B441}" xr6:coauthVersionLast="47" xr6:coauthVersionMax="47" xr10:uidLastSave="{00000000-0000-0000-0000-000000000000}"/>
  <bookViews>
    <workbookView xWindow="-120" yWindow="-120" windowWidth="20730" windowHeight="110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6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28" i="18"/>
  <c r="F30" i="18"/>
  <c r="E30" i="18"/>
  <c r="D30" i="18"/>
  <c r="C30" i="18"/>
  <c r="B30" i="18"/>
  <c r="F29" i="18"/>
  <c r="E29" i="18"/>
  <c r="C29" i="18"/>
  <c r="D29" i="18"/>
  <c r="B29" i="18"/>
  <c r="F28" i="18"/>
  <c r="E28" i="18"/>
  <c r="D28" i="18"/>
  <c r="C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</calcChain>
</file>

<file path=xl/sharedStrings.xml><?xml version="1.0" encoding="utf-8"?>
<sst xmlns="http://schemas.openxmlformats.org/spreadsheetml/2006/main" count="336" uniqueCount="192">
  <si>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</si>
  <si>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</si>
  <si>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</si>
  <si>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</si>
  <si>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</si>
  <si>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</si>
  <si>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</si>
  <si>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</si>
  <si>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</si>
  <si>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</si>
  <si>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</si>
  <si>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</si>
  <si>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</si>
  <si>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</si>
  <si>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</si>
  <si>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</si>
  <si>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</si>
  <si>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</si>
  <si>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</si>
  <si>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</si>
  <si>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</si>
  <si>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</si>
  <si>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</si>
  <si>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</si>
  <si>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</si>
  <si>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</si>
  <si>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</si>
  <si>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</si>
  <si>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</si>
  <si>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</si>
  <si>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</si>
  <si>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</si>
  <si>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</si>
  <si>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</si>
  <si>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</si>
  <si>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</si>
  <si>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</si>
  <si>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</si>
  <si>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</si>
  <si>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</si>
  <si>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</si>
  <si>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</si>
  <si>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</si>
  <si>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</si>
  <si>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</si>
  <si>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</si>
  <si>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</si>
  <si>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</si>
  <si>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</si>
  <si>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</si>
  <si>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</si>
  <si>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</si>
  <si>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</si>
  <si>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</si>
  <si>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</si>
  <si>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</si>
  <si>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</si>
  <si>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</si>
  <si>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</si>
  <si>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</si>
  <si>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</si>
  <si>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</si>
  <si>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</si>
  <si>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</si>
  <si>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</si>
  <si>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</si>
  <si>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</si>
  <si>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</si>
  <si>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</si>
  <si>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</si>
  <si>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</si>
  <si>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</si>
  <si>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</si>
  <si>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</si>
  <si>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</si>
  <si>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</si>
  <si>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</si>
  <si>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</si>
  <si>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</si>
  <si>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</si>
  <si>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</si>
  <si>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</si>
  <si>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</si>
  <si>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</si>
  <si>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</si>
  <si>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</si>
  <si>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</si>
  <si>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</si>
  <si>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</si>
  <si>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</si>
  <si>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</si>
  <si>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</si>
  <si>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</si>
  <si>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</si>
  <si>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</si>
  <si>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</si>
  <si>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</si>
  <si>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</si>
  <si>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</si>
  <si>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</si>
  <si>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</si>
  <si>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</si>
  <si>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</si>
  <si>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</si>
  <si>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</si>
  <si>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</si>
  <si>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</si>
  <si>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</si>
  <si>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</si>
  <si>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</si>
  <si>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</si>
  <si>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</si>
  <si>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</si>
  <si>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</si>
  <si>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</si>
  <si>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</si>
  <si>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</si>
  <si>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</si>
  <si>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</si>
  <si>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</si>
  <si>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</si>
  <si>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</si>
  <si>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</si>
  <si>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</si>
  <si>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</si>
  <si>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</si>
  <si>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</si>
  <si>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</si>
  <si>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</si>
  <si>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</si>
  <si>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</si>
  <si>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</si>
  <si>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</si>
  <si>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</si>
  <si>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</si>
  <si>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</si>
  <si>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</si>
  <si>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</si>
  <si>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</si>
  <si>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</si>
  <si>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</si>
  <si>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</si>
  <si>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</si>
  <si>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</si>
  <si>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</si>
  <si>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</si>
  <si>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</si>
  <si>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</si>
  <si>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</si>
  <si>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</si>
  <si>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</si>
  <si>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</si>
  <si>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</si>
  <si>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</si>
  <si>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</si>
  <si>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</si>
  <si>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</si>
  <si>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</si>
  <si>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</si>
  <si>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</si>
  <si>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</si>
  <si>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</si>
  <si>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</si>
  <si>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</si>
  <si>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</si>
  <si>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</si>
  <si>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</si>
  <si>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</si>
  <si>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</si>
  <si>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</si>
  <si>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</si>
  <si>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</si>
  <si>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</si>
  <si>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</si>
  <si>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</si>
  <si>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</si>
  <si>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</si>
  <si>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</si>
  <si>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=SUMIF(H2:H29, "&gt;20")</t>
  </si>
  <si>
    <t>For cell B16 (col_1):[=LEFT(A2, FIND("-", A2) - 1)]</t>
  </si>
  <si>
    <t xml:space="preserve">For cell C2 (col_3):=MID(A2, FIND("-", A2) + 1, FIND("-", A2, FIND("-", A2) + 1) - FIND("-", A2) - 1) </t>
  </si>
  <si>
    <r>
      <rPr>
        <sz val="8"/>
        <color rgb="FF374151"/>
        <rFont val="Segoe UI"/>
        <family val="2"/>
      </rPr>
      <t>LEFT and MID functions:</t>
    </r>
    <r>
      <rPr>
        <sz val="8"/>
        <color rgb="FF374151"/>
        <rFont val="Segoe UI"/>
        <family val="2"/>
      </rPr>
      <t xml:space="preserve"> These functions are used to extract substrings from the original string based on the position of hyphens</t>
    </r>
    <r>
      <rPr>
        <sz val="12"/>
        <color rgb="FF374151"/>
        <rFont val="Segoe UI"/>
        <family val="2"/>
      </rPr>
      <t>.</t>
    </r>
  </si>
  <si>
    <r>
      <rPr>
        <sz val="8"/>
        <color rgb="FF374151"/>
        <rFont val="Segoe UI"/>
        <family val="2"/>
      </rPr>
      <t>FIND function:</t>
    </r>
    <r>
      <rPr>
        <sz val="8"/>
        <color rgb="FF374151"/>
        <rFont val="Segoe UI"/>
        <family val="2"/>
      </rPr>
      <t xml:space="preserve"> It is used to find the position of a specific character within a text string.</t>
    </r>
  </si>
  <si>
    <r>
      <rPr>
        <sz val="8"/>
        <color rgb="FF374151"/>
        <rFont val="Segoe UI"/>
        <family val="2"/>
      </rPr>
      <t>SUBSTITUTE function:</t>
    </r>
    <r>
      <rPr>
        <sz val="8"/>
        <color rgb="FF374151"/>
        <rFont val="Segoe UI"/>
        <family val="2"/>
      </rPr>
      <t xml:space="preserve"> It replaces all occurrences of a specified substring with another substring.</t>
    </r>
  </si>
  <si>
    <r>
      <rPr>
        <sz val="8"/>
        <color rgb="FF374151"/>
        <rFont val="Segoe UI"/>
        <family val="2"/>
      </rPr>
      <t>REPT function:</t>
    </r>
    <r>
      <rPr>
        <sz val="8"/>
        <color rgb="FF374151"/>
        <rFont val="Segoe UI"/>
        <family val="2"/>
      </rPr>
      <t xml:space="preserve"> It repeats a text string a given number of times.</t>
    </r>
  </si>
  <si>
    <t>RIGHT function: It extracts a specified number of characters from the right side of a text string.</t>
  </si>
  <si>
    <t>.</t>
  </si>
  <si>
    <t>TRIM function: It removes any leading or trailing spaces</t>
  </si>
  <si>
    <t>[=SUMIFS(C2:C11, C2:C11, "&lt;&gt;#N/A", C2:C11, "&lt;&gt;#N/A") + COUNTIF(C2:C11, "#N/A") * 20]</t>
  </si>
  <si>
    <t>SUMIFS(C2:C11, C2:C11, "&lt;&gt;#N/A", C2:C11, "&lt;&gt;#N/A"): This part calculates the sum of sales where the sales value is not equal to #N/A. It uses the SUMIFS function to sum the values that meet the specified criteria.</t>
  </si>
  <si>
    <r>
      <rPr>
        <sz val="8.75"/>
        <color rgb="FF374151"/>
        <rFont val="Calibri"/>
        <family val="2"/>
      </rPr>
      <t>COUNTIF(C2:C11, "#N/A")</t>
    </r>
    <r>
      <rPr>
        <sz val="12"/>
        <color rgb="FF374151"/>
        <rFont val="Calibri"/>
        <family val="2"/>
      </rPr>
      <t>: This part counts the number of #N/A values in the Sales column using the COUNTIF function.</t>
    </r>
  </si>
  <si>
    <r>
      <rPr>
        <sz val="8.75"/>
        <color rgb="FF374151"/>
        <rFont val="Calibri"/>
        <family val="2"/>
      </rPr>
      <t>COUNTIF(C2:C11, "#N/A") * 20</t>
    </r>
    <r>
      <rPr>
        <sz val="12"/>
        <color rgb="FF374151"/>
        <rFont val="Calibri"/>
        <family val="2"/>
      </rPr>
      <t>: This part multiplies the count of #N/A values by 20 to substitute each #N/A value with 20.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</si>
</sst>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\'yyyy/mm/dd\'"/>
  </numFmts>
  <fonts count="2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  <font>
      <sz val="11"/>
      <name val="Courier New"/>
      <family val="3"/>
    </font>
    <font>
      <sz val="12"/>
      <color rgb="FF374151"/>
      <name val="Segoe UI"/>
      <family val="2"/>
    </font>
    <font>
      <sz val="8"/>
      <color rgb="FF000000"/>
      <name val="Calibri"/>
      <family val="2"/>
      <scheme val="minor"/>
    </font>
    <font>
      <sz val="8"/>
      <color rgb="FF374151"/>
      <name val="Segoe UI"/>
      <family val="2"/>
    </font>
    <font>
      <sz val="10"/>
      <color rgb="FF374151"/>
      <name val="Segoe UI"/>
      <family val="2"/>
    </font>
    <font>
      <sz val="12"/>
      <color rgb="FF374151"/>
      <name val="Segoe UI"/>
      <family val="2"/>
    </font>
    <font>
      <sz val="8"/>
      <color rgb="FF374151"/>
      <name val="Segoe UI"/>
      <family val="2"/>
    </font>
    <font>
      <sz val="8.75"/>
      <color rgb="FF374151"/>
      <name val="Calibri"/>
      <family val="2"/>
    </font>
    <font>
      <sz val="12"/>
      <color rgb="FF374151"/>
      <name val="Calibri"/>
      <family val="2"/>
    </font>
    <font>
      <sz val="9"/>
      <color rgb="FF37415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19" fillId="0" borderId="0" xfId="0" applyFont="1"/>
    <xf numFmtId="0" fontId="23" fillId="0" borderId="0" xfId="0" applyFont="1"/>
    <xf numFmtId="0" fontId="24" fillId="0" borderId="0" xfId="0" applyFont="1" applyAlignment="1">
      <alignment horizontal="left" vertical="center" indent="1"/>
    </xf>
    <xf numFmtId="0" fontId="25" fillId="0" borderId="0" xfId="0" applyFont="1" applyAlignment="1">
      <alignment horizontal="left" vertical="center" indent="1"/>
    </xf>
    <xf numFmtId="0" fontId="21" fillId="0" borderId="0" xfId="0" applyFont="1"/>
    <xf numFmtId="0" fontId="20" fillId="0" borderId="0" xfId="0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0" fontId="26" fillId="0" borderId="0" xfId="0" applyFont="1" applyAlignment="1">
      <alignment horizontal="left" vertical="center" inden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5" t="s">
        <v>172</v>
      </c>
      <c r="B9" s="25" t="s">
        <v>170</v>
      </c>
    </row>
    <row r="10" spans="1:3" x14ac:dyDescent="0.2">
      <c r="A10" s="34" t="s">
        <v>173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topLeftCell="J1" zoomScaleNormal="100" workbookViewId="0">
      <pane ySplit="1" topLeftCell="A2" activePane="bottomLeft" state="frozen"/>
      <selection activeCell="C1" sqref="C1"/>
      <selection pane="bottomLeft" activeCell="S18" sqref="S18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.33203125" style="46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3" spans="1:24" x14ac:dyDescent="0.25">
      <c r="H43" s="1" t="s">
        <v>178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C1:W1048576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85" zoomScaleNormal="85" workbookViewId="0">
      <selection activeCell="B29" sqref="B2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165</v>
      </c>
    </row>
    <row r="2" spans="1:7" s="40" customFormat="1" ht="21" x14ac:dyDescent="0.35">
      <c r="B2" s="40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163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2">
        <f>VLOOKUP($A6, Dataset!$A$2:$G$40,7, FALSE)</f>
        <v>2.7</v>
      </c>
      <c r="C6" s="11">
        <f>VLOOKUP($A6, Dataset!$A$2:$N$40,14, FALSE)</f>
        <v>7.6</v>
      </c>
      <c r="D6" s="11">
        <f>VLOOKUP($A6, Dataset!$A$2:$R$40,18, FALSE)</f>
        <v>4.2</v>
      </c>
      <c r="E6" s="11">
        <f>VLOOKUP($A6, Dataset!$A$2:$T$40,20, FALSE)</f>
        <v>8.9</v>
      </c>
      <c r="F6" s="8">
        <f>VLOOKUP($A6, Dataset!$A$2:$V$40,22, FALSE)</f>
        <v>4.2</v>
      </c>
    </row>
    <row r="7" spans="1:7" ht="15" x14ac:dyDescent="0.25">
      <c r="A7" s="7" t="s">
        <v>4</v>
      </c>
      <c r="B7" s="2">
        <f>VLOOKUP($A7, Dataset!$A$2:$G$40,7, FALSE)</f>
        <v>2.7</v>
      </c>
      <c r="C7" s="11">
        <f>VLOOKUP($A7, Dataset!$A$2:$N$40,14, FALSE)</f>
        <v>7.6</v>
      </c>
      <c r="D7" s="11">
        <f>VLOOKUP($A7, Dataset!$A$2:$R$40,18, FALSE)</f>
        <v>4.2</v>
      </c>
      <c r="E7" s="11">
        <f>VLOOKUP($A7, Dataset!$A$2:$T$40,20, FALSE)</f>
        <v>8.9</v>
      </c>
      <c r="F7" s="8">
        <f>VLOOKUP($A7, Dataset!$A$2:$V$40,22, FALSE)</f>
        <v>4.2</v>
      </c>
    </row>
    <row r="8" spans="1:7" ht="15" x14ac:dyDescent="0.25">
      <c r="A8" s="7" t="s">
        <v>7</v>
      </c>
      <c r="B8" s="2">
        <f>VLOOKUP($A8, Dataset!$A$2:$G$40,7, FALSE)</f>
        <v>3.6</v>
      </c>
      <c r="C8" s="11">
        <f>VLOOKUP($A8, Dataset!$A$2:$N$40,14, FALSE)</f>
        <v>11.1</v>
      </c>
      <c r="D8" s="11">
        <f>VLOOKUP($A8, Dataset!$A$2:$R$40,18, FALSE)</f>
        <v>5.8</v>
      </c>
      <c r="E8" s="11">
        <f>VLOOKUP($A8, Dataset!$A$2:$T$40,20, FALSE)</f>
        <v>12.2</v>
      </c>
      <c r="F8" s="8">
        <f>VLOOKUP($A8, Dataset!$A$2:$V$40,22, FALSE)</f>
        <v>5.8</v>
      </c>
    </row>
    <row r="9" spans="1:7" ht="15" x14ac:dyDescent="0.25">
      <c r="A9" s="7" t="s">
        <v>8</v>
      </c>
      <c r="B9" s="2">
        <f>VLOOKUP($A9, Dataset!$A$2:$G$40,7, FALSE)</f>
        <v>4.9000000000000004</v>
      </c>
      <c r="C9" s="11">
        <f>VLOOKUP($A9, Dataset!$A$2:$N$40,14, FALSE)</f>
        <v>13.3</v>
      </c>
      <c r="D9" s="11">
        <f>VLOOKUP($A9, Dataset!$A$2:$R$40,18, FALSE)</f>
        <v>8.1</v>
      </c>
      <c r="E9" s="11">
        <f>VLOOKUP($A9, Dataset!$A$2:$T$40,20, FALSE)</f>
        <v>17</v>
      </c>
      <c r="F9" s="8">
        <f>VLOOKUP($A9, Dataset!$A$2:$V$40,22, FALSE)</f>
        <v>8.1</v>
      </c>
    </row>
    <row r="10" spans="1:7" ht="15" x14ac:dyDescent="0.25">
      <c r="A10" s="7" t="s">
        <v>11</v>
      </c>
      <c r="B10" s="2">
        <f>VLOOKUP($A10, Dataset!$A$2:$G$40,7, FALSE)</f>
        <v>9.4</v>
      </c>
      <c r="C10" s="11">
        <f>VLOOKUP($A10, Dataset!$A$2:$N$40,14, FALSE)</f>
        <v>28.3</v>
      </c>
      <c r="D10" s="11">
        <f>VLOOKUP($A10, Dataset!$A$2:$R$40,18, FALSE)</f>
        <v>16.100000000000001</v>
      </c>
      <c r="E10" s="11">
        <f>VLOOKUP($A10, Dataset!$A$2:$T$40,20, FALSE)</f>
        <v>32.799999999999997</v>
      </c>
      <c r="F10" s="8">
        <f>VLOOKUP($A10, Dataset!$A$2:$V$40,22, FALSE)</f>
        <v>16.100000000000001</v>
      </c>
    </row>
    <row r="11" spans="1:7" ht="15" x14ac:dyDescent="0.25">
      <c r="A11" s="7" t="s">
        <v>12</v>
      </c>
      <c r="B11" s="2">
        <f>VLOOKUP($A11, Dataset!$A$2:$G$40,7, FALSE)</f>
        <v>11.6</v>
      </c>
      <c r="C11" s="11">
        <f>VLOOKUP($A11, Dataset!$A$2:$N$40,14, FALSE)</f>
        <v>35.200000000000003</v>
      </c>
      <c r="D11" s="11">
        <f>VLOOKUP($A11, Dataset!$A$2:$R$40,18, FALSE)</f>
        <v>21.3</v>
      </c>
      <c r="E11" s="11">
        <f>VLOOKUP($A11, Dataset!$A$2:$T$40,20, FALSE)</f>
        <v>43</v>
      </c>
      <c r="F11" s="8">
        <f>VLOOKUP($A11, Dataset!$A$2:$V$40,22, FALSE)</f>
        <v>21.3</v>
      </c>
    </row>
    <row r="12" spans="1:7" ht="15" x14ac:dyDescent="0.25">
      <c r="A12" s="7" t="s">
        <v>14</v>
      </c>
      <c r="B12" s="2">
        <f>VLOOKUP($A12, Dataset!$A$2:$G$40,7, FALSE)</f>
        <v>18.399999999999999</v>
      </c>
      <c r="C12" s="11">
        <f>VLOOKUP($A12, Dataset!$A$2:$N$40,14, FALSE)</f>
        <v>55.6</v>
      </c>
      <c r="D12" s="11">
        <f>VLOOKUP($A12, Dataset!$A$2:$R$40,18, FALSE)</f>
        <v>33.799999999999997</v>
      </c>
      <c r="E12" s="11">
        <f>VLOOKUP($A12, Dataset!$A$2:$T$40,20, FALSE)</f>
        <v>67.900000000000006</v>
      </c>
      <c r="F12" s="8">
        <f>VLOOKUP($A12, Dataset!$A$2:$V$40,22, FALSE)</f>
        <v>33.799999999999997</v>
      </c>
    </row>
    <row r="13" spans="1:7" ht="15" x14ac:dyDescent="0.25">
      <c r="A13" s="7" t="s">
        <v>15</v>
      </c>
      <c r="B13" s="2">
        <f>VLOOKUP($A13, Dataset!$A$2:$G$40,7, FALSE)</f>
        <v>0</v>
      </c>
      <c r="C13" s="11">
        <f>VLOOKUP($A13, Dataset!$A$2:$N$40,14, FALSE)</f>
        <v>0</v>
      </c>
      <c r="D13" s="11">
        <f>VLOOKUP($A13, Dataset!$A$2:$R$40,18, FALSE)</f>
        <v>0</v>
      </c>
      <c r="E13" s="11">
        <f>VLOOKUP($A13, Dataset!$A$2:$T$40,20, FALSE)</f>
        <v>0</v>
      </c>
      <c r="F13" s="8">
        <f>VLOOKUP($A13, Dataset!$A$2:$V$40,22, FALSE)</f>
        <v>0</v>
      </c>
    </row>
    <row r="14" spans="1:7" ht="15" x14ac:dyDescent="0.25">
      <c r="A14" s="7" t="s">
        <v>16</v>
      </c>
      <c r="B14" s="2">
        <f>VLOOKUP($A14, Dataset!$A$2:$G$40,7, FALSE)</f>
        <v>21.9</v>
      </c>
      <c r="C14" s="11">
        <f>VLOOKUP($A14, Dataset!$A$2:$N$40,14, FALSE)</f>
        <v>61.5</v>
      </c>
      <c r="D14" s="11">
        <f>VLOOKUP($A14, Dataset!$A$2:$R$40,18, FALSE)</f>
        <v>40.1</v>
      </c>
      <c r="E14" s="11">
        <f>VLOOKUP($A14, Dataset!$A$2:$T$40,20, FALSE)</f>
        <v>76.599999999999994</v>
      </c>
      <c r="F14" s="8">
        <f>VLOOKUP($A14, Dataset!$A$2:$V$40,22, FALSE)</f>
        <v>40.1</v>
      </c>
    </row>
    <row r="15" spans="1:7" ht="15" x14ac:dyDescent="0.25">
      <c r="A15" s="7" t="s">
        <v>18</v>
      </c>
      <c r="B15" s="2">
        <f>VLOOKUP($A15, Dataset!$A$2:$G$40,7, FALSE)</f>
        <v>26.8</v>
      </c>
      <c r="C15" s="11">
        <f>VLOOKUP($A15, Dataset!$A$2:$N$40,14, FALSE)</f>
        <v>79.599999999999994</v>
      </c>
      <c r="D15" s="11">
        <f>VLOOKUP($A15, Dataset!$A$2:$R$40,18, FALSE)</f>
        <v>47.9</v>
      </c>
      <c r="E15" s="11">
        <f>VLOOKUP($A15, Dataset!$A$2:$T$40,20, FALSE)</f>
        <v>96.8</v>
      </c>
      <c r="F15" s="8">
        <f>VLOOKUP($A15, Dataset!$A$2:$V$40,22, FALSE)</f>
        <v>47.9</v>
      </c>
    </row>
    <row r="16" spans="1:7" ht="15" x14ac:dyDescent="0.25">
      <c r="A16" s="7" t="s">
        <v>20</v>
      </c>
      <c r="B16" s="2">
        <f>VLOOKUP($A16, Dataset!$A$2:$G$40,7, FALSE)</f>
        <v>28.5</v>
      </c>
      <c r="C16" s="11">
        <f>VLOOKUP($A16, Dataset!$A$2:$N$40,14, FALSE)</f>
        <v>85.4</v>
      </c>
      <c r="D16" s="11">
        <f>VLOOKUP($A16, Dataset!$A$2:$R$40,18, FALSE)</f>
        <v>52.3</v>
      </c>
      <c r="E16" s="11">
        <f>VLOOKUP($A16, Dataset!$A$2:$T$40,20, FALSE)</f>
        <v>106.1</v>
      </c>
      <c r="F16" s="8">
        <f>VLOOKUP($A16, Dataset!$A$2:$V$40,22, FALSE)</f>
        <v>52.3</v>
      </c>
    </row>
    <row r="17" spans="1:6" ht="15" x14ac:dyDescent="0.25">
      <c r="A17" s="7" t="s">
        <v>22</v>
      </c>
      <c r="B17" s="2">
        <f>VLOOKUP($A17, Dataset!$A$2:$G$40,7, FALSE)</f>
        <v>30.7</v>
      </c>
      <c r="C17" s="11">
        <f>VLOOKUP($A17, Dataset!$A$2:$N$40,14, FALSE)</f>
        <v>92.1</v>
      </c>
      <c r="D17" s="11">
        <f>VLOOKUP($A17, Dataset!$A$2:$R$40,18, FALSE)</f>
        <v>57</v>
      </c>
      <c r="E17" s="11">
        <f>VLOOKUP($A17, Dataset!$A$2:$T$40,20, FALSE)</f>
        <v>115.1</v>
      </c>
      <c r="F17" s="8">
        <f>VLOOKUP($A17, Dataset!$A$2:$V$40,22, FALSE)</f>
        <v>57</v>
      </c>
    </row>
    <row r="18" spans="1:6" ht="15" x14ac:dyDescent="0.25">
      <c r="A18" s="7" t="s">
        <v>23</v>
      </c>
      <c r="B18" s="2">
        <f>VLOOKUP($A18, Dataset!$A$2:$G$40,7, FALSE)</f>
        <v>33.799999999999997</v>
      </c>
      <c r="C18" s="11">
        <f>VLOOKUP($A18, Dataset!$A$2:$N$40,14, FALSE)</f>
        <v>101.3</v>
      </c>
      <c r="D18" s="11">
        <f>VLOOKUP($A18, Dataset!$A$2:$R$40,18, FALSE)</f>
        <v>61.4</v>
      </c>
      <c r="E18" s="11">
        <f>VLOOKUP($A18, Dataset!$A$2:$T$40,20, FALSE)</f>
        <v>124.4</v>
      </c>
      <c r="F18" s="8">
        <f>VLOOKUP($A18, Dataset!$A$2:$V$40,22, FALSE)</f>
        <v>61.4</v>
      </c>
    </row>
    <row r="19" spans="1:6" ht="15" x14ac:dyDescent="0.25">
      <c r="A19" s="7" t="s">
        <v>24</v>
      </c>
      <c r="B19" s="2">
        <f>VLOOKUP($A19, Dataset!$A$2:$G$40,7, FALSE)</f>
        <v>34.700000000000003</v>
      </c>
      <c r="C19" s="11">
        <f>VLOOKUP($A19, Dataset!$A$2:$N$40,14, FALSE)</f>
        <v>106.1</v>
      </c>
      <c r="D19" s="11">
        <f>VLOOKUP($A19, Dataset!$A$2:$R$40,18, FALSE)</f>
        <v>63.6</v>
      </c>
      <c r="E19" s="11">
        <f>VLOOKUP($A19, Dataset!$A$2:$T$40,20, FALSE)</f>
        <v>128.6</v>
      </c>
      <c r="F19" s="8">
        <f>VLOOKUP($A19, Dataset!$A$2:$V$40,22, FALSE)</f>
        <v>63.6</v>
      </c>
    </row>
    <row r="20" spans="1:6" ht="15" x14ac:dyDescent="0.25">
      <c r="A20" s="7" t="s">
        <v>28</v>
      </c>
      <c r="B20" s="2">
        <f>VLOOKUP($A20, Dataset!$A$2:$G$40,7, FALSE)</f>
        <v>0</v>
      </c>
      <c r="C20" s="11">
        <f>VLOOKUP($A20, Dataset!$A$2:$N$40,14, FALSE)</f>
        <v>0</v>
      </c>
      <c r="D20" s="11">
        <f>VLOOKUP($A20, Dataset!$A$2:$R$40,18, FALSE)</f>
        <v>0</v>
      </c>
      <c r="E20" s="11">
        <f>VLOOKUP($A20, Dataset!$A$2:$T$40,20, FALSE)</f>
        <v>0</v>
      </c>
      <c r="F20" s="8">
        <f>VLOOKUP($A20, Dataset!$A$2:$V$40,22, FALSE)</f>
        <v>0</v>
      </c>
    </row>
    <row r="21" spans="1:6" ht="15" x14ac:dyDescent="0.25">
      <c r="A21" s="7" t="s">
        <v>57</v>
      </c>
      <c r="B21" s="2">
        <f>VLOOKUP($A21, Dataset!$A$2:$G$40,7, FALSE)</f>
        <v>41.3</v>
      </c>
      <c r="C21" s="11">
        <f>VLOOKUP($A21, Dataset!$A$2:$N$40,14, FALSE)</f>
        <v>124.4</v>
      </c>
      <c r="D21" s="11">
        <f>VLOOKUP($A21, Dataset!$A$2:$R$40,18, FALSE)</f>
        <v>75</v>
      </c>
      <c r="E21" s="11">
        <f>VLOOKUP($A21, Dataset!$A$2:$T$40,20, FALSE)</f>
        <v>151.5</v>
      </c>
      <c r="F21" s="8">
        <f>VLOOKUP($A21, Dataset!$A$2:$V$40,22, FALSE)</f>
        <v>75</v>
      </c>
    </row>
    <row r="22" spans="1:6" ht="15" x14ac:dyDescent="0.25">
      <c r="A22" s="7" t="s">
        <v>58</v>
      </c>
      <c r="B22" s="2">
        <f>VLOOKUP($A22, Dataset!$A$2:$G$40,7, FALSE)</f>
        <v>-1</v>
      </c>
      <c r="C22" s="11">
        <f>VLOOKUP($A22, Dataset!$A$2:$N$40,14, FALSE)</f>
        <v>-1</v>
      </c>
      <c r="D22" s="11">
        <f>VLOOKUP($A22, Dataset!$A$2:$R$40,18, FALSE)</f>
        <v>-1</v>
      </c>
      <c r="E22" s="11">
        <f>VLOOKUP($A22, Dataset!$A$2:$T$40,20, FALSE)</f>
        <v>-1</v>
      </c>
      <c r="F22" s="8">
        <f>VLOOKUP($A22, Dataset!$A$2:$V$40,22, FALSE)</f>
        <v>-1</v>
      </c>
    </row>
    <row r="23" spans="1:6" ht="15" x14ac:dyDescent="0.25">
      <c r="A23" s="7" t="s">
        <v>31</v>
      </c>
      <c r="B23" s="2">
        <f>VLOOKUP($A23, Dataset!$A$2:$G$40,7, FALSE)</f>
        <v>45</v>
      </c>
      <c r="C23" s="11">
        <f>VLOOKUP($A23, Dataset!$A$2:$N$40,14, FALSE)</f>
        <v>133.4</v>
      </c>
      <c r="D23" s="11">
        <f>VLOOKUP($A23, Dataset!$A$2:$R$40,18, FALSE)</f>
        <v>79.400000000000006</v>
      </c>
      <c r="E23" s="11">
        <f>VLOOKUP($A23, Dataset!$A$2:$T$40,20, FALSE)</f>
        <v>160.9</v>
      </c>
      <c r="F23" s="8">
        <f>VLOOKUP($A23, Dataset!$A$2:$V$40,22, FALSE)</f>
        <v>79.400000000000006</v>
      </c>
    </row>
    <row r="24" spans="1:6" ht="15" x14ac:dyDescent="0.25">
      <c r="A24" s="7" t="s">
        <v>32</v>
      </c>
      <c r="B24" s="2">
        <f>VLOOKUP($A24, Dataset!$A$2:$G$40,7, FALSE)</f>
        <v>-1</v>
      </c>
      <c r="C24" s="11">
        <f>VLOOKUP($A24, Dataset!$A$2:$N$40,14, FALSE)</f>
        <v>-1</v>
      </c>
      <c r="D24" s="11">
        <f>VLOOKUP($A24, Dataset!$A$2:$R$40,18, FALSE)</f>
        <v>-1</v>
      </c>
      <c r="E24" s="11">
        <f>VLOOKUP($A24, Dataset!$A$2:$T$40,20, FALSE)</f>
        <v>-1</v>
      </c>
      <c r="F24" s="8">
        <f>VLOOKUP($A24, Dataset!$A$2:$V$40,22, FALSE)</f>
        <v>-1</v>
      </c>
    </row>
    <row r="25" spans="1:6" ht="15" x14ac:dyDescent="0.25">
      <c r="A25" s="7" t="s">
        <v>34</v>
      </c>
      <c r="B25" s="2">
        <f>VLOOKUP($A25, Dataset!$A$2:$G$40,7, FALSE)</f>
        <v>43.3</v>
      </c>
      <c r="C25" s="11">
        <f>VLOOKUP($A25, Dataset!$A$2:$N$40,14, FALSE)</f>
        <v>128.6</v>
      </c>
      <c r="D25" s="11">
        <f>VLOOKUP($A25, Dataset!$A$2:$R$40,18, FALSE)</f>
        <v>79.400000000000006</v>
      </c>
      <c r="E25" s="11">
        <f>VLOOKUP($A25, Dataset!$A$2:$T$40,20, FALSE)</f>
        <v>160.9</v>
      </c>
      <c r="F25" s="8">
        <f>VLOOKUP($A25, Dataset!$A$2:$V$40,22, FALSE)</f>
        <v>79.400000000000006</v>
      </c>
    </row>
    <row r="26" spans="1:6" ht="15" x14ac:dyDescent="0.25">
      <c r="A26" s="7" t="s">
        <v>37</v>
      </c>
      <c r="B26" s="2">
        <f>VLOOKUP($A26, Dataset!$A$2:$G$40,7, FALSE)</f>
        <v>49.1</v>
      </c>
      <c r="C26" s="11">
        <f>VLOOKUP($A26, Dataset!$A$2:$N$40,14, FALSE)</f>
        <v>146.80000000000001</v>
      </c>
      <c r="D26" s="11">
        <f>VLOOKUP($A26, Dataset!$A$2:$R$40,18, FALSE)</f>
        <v>90.9</v>
      </c>
      <c r="E26" s="11">
        <f>VLOOKUP($A26, Dataset!$A$2:$T$40,20, FALSE)</f>
        <v>183.5</v>
      </c>
      <c r="F26" s="8">
        <f>VLOOKUP($A26, Dataset!$A$2:$V$40,22, FALSE)</f>
        <v>90.9</v>
      </c>
    </row>
    <row r="27" spans="1:6" ht="15" x14ac:dyDescent="0.25">
      <c r="A27" s="7" t="s">
        <v>39</v>
      </c>
      <c r="B27" s="2">
        <f>VLOOKUP($A27, Dataset!$A$2:$G$40,7, FALSE)</f>
        <v>51.8</v>
      </c>
      <c r="C27" s="11">
        <f>VLOOKUP($A27, Dataset!$A$2:$N$40,14, FALSE)</f>
        <v>156.4</v>
      </c>
      <c r="D27" s="11">
        <f>VLOOKUP($A27, Dataset!$A$2:$R$40,18, FALSE)</f>
        <v>93.1</v>
      </c>
      <c r="E27" s="11">
        <f>VLOOKUP($A27, Dataset!$A$2:$T$40,20, FALSE)</f>
        <v>188.1</v>
      </c>
      <c r="F27" s="8">
        <f>VLOOKUP($A27, Dataset!$A$2:$V$40,22, FALSE)</f>
        <v>93.1</v>
      </c>
    </row>
    <row r="28" spans="1:6" ht="15" x14ac:dyDescent="0.25">
      <c r="A28" s="18" t="s">
        <v>82</v>
      </c>
      <c r="B28" s="47">
        <f>MIN(A6:A27)</f>
        <v>0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11" sqref="B11"/>
    </sheetView>
  </sheetViews>
  <sheetFormatPr defaultColWidth="11" defaultRowHeight="15" x14ac:dyDescent="0.25"/>
  <cols>
    <col min="1" max="1" width="39.83203125" style="1" bestFit="1" customWidth="1"/>
    <col min="2" max="2" width="11" style="1" customWidth="1"/>
    <col min="3" max="16384" width="11" style="1"/>
  </cols>
  <sheetData>
    <row r="1" spans="1:10" s="40" customFormat="1" ht="21" x14ac:dyDescent="0.35">
      <c r="A1" s="41" t="s">
        <v>56</v>
      </c>
      <c r="B1" s="40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2" t="s">
        <v>53</v>
      </c>
      <c r="B5" s="2" t="s">
        <v>179</v>
      </c>
      <c r="H5" s="49" t="s">
        <v>180</v>
      </c>
    </row>
    <row r="6" spans="1:10" ht="18.75" x14ac:dyDescent="0.3">
      <c r="A6" s="42" t="s">
        <v>154</v>
      </c>
      <c r="B6" s="50" t="s">
        <v>181</v>
      </c>
    </row>
    <row r="7" spans="1:10" ht="18.75" x14ac:dyDescent="0.3">
      <c r="A7" s="42"/>
      <c r="B7" s="51" t="s">
        <v>182</v>
      </c>
      <c r="J7" s="52" t="s">
        <v>187</v>
      </c>
    </row>
    <row r="8" spans="1:10" x14ac:dyDescent="0.25">
      <c r="B8" s="51" t="s">
        <v>183</v>
      </c>
    </row>
    <row r="9" spans="1:10" ht="23.25" x14ac:dyDescent="0.35">
      <c r="A9" s="17" t="s">
        <v>166</v>
      </c>
      <c r="B9" s="51" t="s">
        <v>184</v>
      </c>
      <c r="H9" s="52" t="s">
        <v>185</v>
      </c>
      <c r="I9" s="2"/>
      <c r="J9" s="2"/>
    </row>
    <row r="10" spans="1:10" ht="17.25" x14ac:dyDescent="0.25">
      <c r="A10" s="32" t="s">
        <v>102</v>
      </c>
      <c r="B10" s="50"/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ht="17.25" x14ac:dyDescent="0.25">
      <c r="A11" s="9" t="s">
        <v>122</v>
      </c>
      <c r="B11" s="53" t="s">
        <v>186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163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122</v>
      </c>
      <c r="B16" s="11" t="str">
        <f>LEFT(A16, FIND("-", A16)  -1)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TRIM(RIGHT(SUBSTITUTE(A16, "-", REPT(" ", LEN(A16))), LEN(A16)))</f>
        <v>24</v>
      </c>
    </row>
    <row r="17" spans="1:6" x14ac:dyDescent="0.25">
      <c r="A17" s="7" t="s">
        <v>123</v>
      </c>
      <c r="B17" s="11" t="str">
        <f>LEFT(A17, FIND("-", A17)  -1)</f>
        <v>20002</v>
      </c>
      <c r="C17" s="1" t="str">
        <f t="shared" ref="C17:C54" si="0">MID(A17, FIND("-", A17) + 1, FIND("-", A17, FIND("-", A17) + 1) - FIND("-", A17) - 1)</f>
        <v>Monday</v>
      </c>
      <c r="D17" s="11" t="str">
        <f t="shared" ref="D17:D54" si="1">MID(A17, FIND("-", A17, FIND("-", A17) + 1) + 1, FIND("-", A17, FIND("-", A17, FIND("-", A17) + 1) + 1) - FIND("-", A17, FIND("-", A17) + 1) - 1)</f>
        <v>0</v>
      </c>
      <c r="E17" s="1" t="str">
        <f t="shared" ref="E17:E54" si="2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3">TRIM(RIGHT(SUBSTITUTE(A17, "-", REPT(" ", LEN(A17))), LEN(A17)))</f>
        <v>24</v>
      </c>
    </row>
    <row r="18" spans="1:6" x14ac:dyDescent="0.25">
      <c r="A18" s="7" t="s">
        <v>124</v>
      </c>
      <c r="B18" s="11" t="str">
        <f t="shared" ref="B17:B54" si="4">LEFT(A18, FIND("-", A18)  -1)</f>
        <v>20004</v>
      </c>
      <c r="C18" s="1" t="str">
        <f t="shared" si="0"/>
        <v>Monday</v>
      </c>
      <c r="D18" s="11" t="str">
        <f t="shared" si="1"/>
        <v>0</v>
      </c>
      <c r="E18" s="1" t="str">
        <f t="shared" si="2"/>
        <v>Sunday</v>
      </c>
      <c r="F18" s="11" t="str">
        <f t="shared" si="3"/>
        <v>24</v>
      </c>
    </row>
    <row r="19" spans="1:6" x14ac:dyDescent="0.25">
      <c r="A19" s="7" t="s">
        <v>125</v>
      </c>
      <c r="B19" s="11" t="str">
        <f t="shared" si="4"/>
        <v>20006</v>
      </c>
      <c r="C19" s="1" t="str">
        <f t="shared" si="0"/>
        <v>Monday</v>
      </c>
      <c r="D19" s="11" t="str">
        <f t="shared" si="1"/>
        <v>0</v>
      </c>
      <c r="E19" s="1" t="str">
        <f t="shared" si="2"/>
        <v>Sunday</v>
      </c>
      <c r="F19" s="11" t="str">
        <f t="shared" si="3"/>
        <v>24</v>
      </c>
    </row>
    <row r="20" spans="1:6" x14ac:dyDescent="0.25">
      <c r="A20" s="7" t="s">
        <v>126</v>
      </c>
      <c r="B20" s="11" t="str">
        <f t="shared" si="4"/>
        <v>20008</v>
      </c>
      <c r="C20" s="1" t="str">
        <f t="shared" si="0"/>
        <v>Monday</v>
      </c>
      <c r="D20" s="11" t="str">
        <f t="shared" si="1"/>
        <v>0</v>
      </c>
      <c r="E20" s="1" t="str">
        <f t="shared" si="2"/>
        <v>Sunday</v>
      </c>
      <c r="F20" s="11" t="str">
        <f t="shared" si="3"/>
        <v>24</v>
      </c>
    </row>
    <row r="21" spans="1:6" x14ac:dyDescent="0.25">
      <c r="A21" s="7" t="s">
        <v>127</v>
      </c>
      <c r="B21" s="11" t="str">
        <f t="shared" si="4"/>
        <v>20010</v>
      </c>
      <c r="C21" s="1" t="str">
        <f t="shared" si="0"/>
        <v>Monday</v>
      </c>
      <c r="D21" s="11" t="str">
        <f t="shared" si="1"/>
        <v>0</v>
      </c>
      <c r="E21" s="1" t="str">
        <f t="shared" si="2"/>
        <v>Sunday</v>
      </c>
      <c r="F21" s="11" t="str">
        <f t="shared" si="3"/>
        <v>24</v>
      </c>
    </row>
    <row r="22" spans="1:6" x14ac:dyDescent="0.25">
      <c r="A22" s="7" t="s">
        <v>128</v>
      </c>
      <c r="B22" s="11" t="str">
        <f t="shared" si="4"/>
        <v>20012</v>
      </c>
      <c r="C22" s="1" t="str">
        <f t="shared" si="0"/>
        <v>Monday</v>
      </c>
      <c r="D22" s="11" t="str">
        <f t="shared" si="1"/>
        <v>0</v>
      </c>
      <c r="E22" s="1" t="str">
        <f t="shared" si="2"/>
        <v>Sunday</v>
      </c>
      <c r="F22" s="11" t="str">
        <f t="shared" si="3"/>
        <v>24</v>
      </c>
    </row>
    <row r="23" spans="1:6" x14ac:dyDescent="0.25">
      <c r="A23" s="7" t="s">
        <v>129</v>
      </c>
      <c r="B23" s="11" t="str">
        <f t="shared" si="4"/>
        <v>20014</v>
      </c>
      <c r="C23" s="1" t="str">
        <f t="shared" si="0"/>
        <v>Monday</v>
      </c>
      <c r="D23" s="11" t="str">
        <f t="shared" si="1"/>
        <v>0</v>
      </c>
      <c r="E23" s="1" t="str">
        <f t="shared" si="2"/>
        <v>Sunday</v>
      </c>
      <c r="F23" s="11" t="str">
        <f t="shared" si="3"/>
        <v>24</v>
      </c>
    </row>
    <row r="24" spans="1:6" x14ac:dyDescent="0.25">
      <c r="A24" s="7" t="s">
        <v>130</v>
      </c>
      <c r="B24" s="11" t="str">
        <f t="shared" si="4"/>
        <v>20016</v>
      </c>
      <c r="C24" s="1" t="str">
        <f t="shared" si="0"/>
        <v>Monday</v>
      </c>
      <c r="D24" s="11" t="str">
        <f t="shared" si="1"/>
        <v>0</v>
      </c>
      <c r="E24" s="1" t="str">
        <f t="shared" si="2"/>
        <v>Sunday</v>
      </c>
      <c r="F24" s="11" t="str">
        <f t="shared" si="3"/>
        <v>24</v>
      </c>
    </row>
    <row r="25" spans="1:6" x14ac:dyDescent="0.25">
      <c r="A25" s="7" t="s">
        <v>131</v>
      </c>
      <c r="B25" s="11" t="str">
        <f t="shared" si="4"/>
        <v>20018</v>
      </c>
      <c r="C25" s="1" t="str">
        <f t="shared" si="0"/>
        <v>Monday</v>
      </c>
      <c r="D25" s="11" t="str">
        <f t="shared" si="1"/>
        <v>0</v>
      </c>
      <c r="E25" s="1" t="str">
        <f t="shared" si="2"/>
        <v>Sunday</v>
      </c>
      <c r="F25" s="11" t="str">
        <f t="shared" si="3"/>
        <v>24</v>
      </c>
    </row>
    <row r="26" spans="1:6" x14ac:dyDescent="0.25">
      <c r="A26" s="7" t="s">
        <v>132</v>
      </c>
      <c r="B26" s="11" t="str">
        <f t="shared" si="4"/>
        <v>20020</v>
      </c>
      <c r="C26" s="1" t="str">
        <f t="shared" si="0"/>
        <v>Monday</v>
      </c>
      <c r="D26" s="11" t="str">
        <f t="shared" si="1"/>
        <v>0</v>
      </c>
      <c r="E26" s="1" t="str">
        <f t="shared" si="2"/>
        <v>Sunday</v>
      </c>
      <c r="F26" s="11" t="str">
        <f t="shared" si="3"/>
        <v>24</v>
      </c>
    </row>
    <row r="27" spans="1:6" x14ac:dyDescent="0.25">
      <c r="A27" s="7" t="s">
        <v>133</v>
      </c>
      <c r="B27" s="11" t="str">
        <f t="shared" si="4"/>
        <v>20022</v>
      </c>
      <c r="C27" s="1" t="str">
        <f t="shared" si="0"/>
        <v>Monday</v>
      </c>
      <c r="D27" s="11" t="str">
        <f t="shared" si="1"/>
        <v>0</v>
      </c>
      <c r="E27" s="1" t="str">
        <f t="shared" si="2"/>
        <v>Sunday</v>
      </c>
      <c r="F27" s="11" t="str">
        <f t="shared" si="3"/>
        <v>24</v>
      </c>
    </row>
    <row r="28" spans="1:6" x14ac:dyDescent="0.25">
      <c r="A28" s="7" t="s">
        <v>134</v>
      </c>
      <c r="B28" s="11" t="str">
        <f t="shared" si="4"/>
        <v>20024</v>
      </c>
      <c r="C28" s="1" t="str">
        <f t="shared" si="0"/>
        <v>Monday</v>
      </c>
      <c r="D28" s="11" t="str">
        <f t="shared" si="1"/>
        <v>0</v>
      </c>
      <c r="E28" s="1" t="str">
        <f t="shared" si="2"/>
        <v>Sunday</v>
      </c>
      <c r="F28" s="11" t="str">
        <f t="shared" si="3"/>
        <v>24</v>
      </c>
    </row>
    <row r="29" spans="1:6" x14ac:dyDescent="0.25">
      <c r="A29" s="7" t="s">
        <v>135</v>
      </c>
      <c r="B29" s="11" t="str">
        <f t="shared" si="4"/>
        <v>20026</v>
      </c>
      <c r="C29" s="1" t="str">
        <f t="shared" si="0"/>
        <v>Monday</v>
      </c>
      <c r="D29" s="11" t="str">
        <f t="shared" si="1"/>
        <v>0</v>
      </c>
      <c r="E29" s="1" t="str">
        <f t="shared" si="2"/>
        <v>Sunday</v>
      </c>
      <c r="F29" s="11" t="str">
        <f t="shared" si="3"/>
        <v>24</v>
      </c>
    </row>
    <row r="30" spans="1:6" x14ac:dyDescent="0.25">
      <c r="A30" s="7" t="s">
        <v>136</v>
      </c>
      <c r="B30" s="11" t="str">
        <f t="shared" si="4"/>
        <v>20028</v>
      </c>
      <c r="C30" s="1" t="str">
        <f t="shared" si="0"/>
        <v>Monday</v>
      </c>
      <c r="D30" s="11" t="str">
        <f t="shared" si="1"/>
        <v>0</v>
      </c>
      <c r="E30" s="1" t="str">
        <f t="shared" si="2"/>
        <v>Sunday</v>
      </c>
      <c r="F30" s="11" t="str">
        <f t="shared" si="3"/>
        <v>24</v>
      </c>
    </row>
    <row r="31" spans="1:6" x14ac:dyDescent="0.25">
      <c r="A31" s="7" t="s">
        <v>137</v>
      </c>
      <c r="B31" s="11" t="str">
        <f t="shared" si="4"/>
        <v>20030</v>
      </c>
      <c r="C31" s="1" t="str">
        <f t="shared" si="0"/>
        <v>Monday</v>
      </c>
      <c r="D31" s="11" t="str">
        <f t="shared" si="1"/>
        <v>0</v>
      </c>
      <c r="E31" s="1" t="str">
        <f t="shared" si="2"/>
        <v>Sunday</v>
      </c>
      <c r="F31" s="11" t="str">
        <f t="shared" si="3"/>
        <v>24</v>
      </c>
    </row>
    <row r="32" spans="1:6" x14ac:dyDescent="0.25">
      <c r="A32" s="7" t="s">
        <v>138</v>
      </c>
      <c r="B32" s="11" t="str">
        <f t="shared" si="4"/>
        <v>20032</v>
      </c>
      <c r="C32" s="1" t="str">
        <f t="shared" si="0"/>
        <v>Monday</v>
      </c>
      <c r="D32" s="11" t="str">
        <f t="shared" si="1"/>
        <v>0</v>
      </c>
      <c r="E32" s="1" t="str">
        <f t="shared" si="2"/>
        <v>Sunday</v>
      </c>
      <c r="F32" s="11" t="str">
        <f t="shared" si="3"/>
        <v>24</v>
      </c>
    </row>
    <row r="33" spans="1:6" x14ac:dyDescent="0.25">
      <c r="A33" s="7" t="s">
        <v>139</v>
      </c>
      <c r="B33" s="11" t="str">
        <f t="shared" si="4"/>
        <v>20034</v>
      </c>
      <c r="C33" s="1" t="str">
        <f t="shared" si="0"/>
        <v>Monday</v>
      </c>
      <c r="D33" s="11" t="str">
        <f t="shared" si="1"/>
        <v>0</v>
      </c>
      <c r="E33" s="1" t="str">
        <f t="shared" si="2"/>
        <v>Sunday</v>
      </c>
      <c r="F33" s="11" t="str">
        <f t="shared" si="3"/>
        <v>24</v>
      </c>
    </row>
    <row r="34" spans="1:6" x14ac:dyDescent="0.25">
      <c r="A34" s="7" t="s">
        <v>140</v>
      </c>
      <c r="B34" s="11" t="str">
        <f t="shared" si="4"/>
        <v>20036</v>
      </c>
      <c r="C34" s="1" t="str">
        <f t="shared" si="0"/>
        <v>Monday</v>
      </c>
      <c r="D34" s="11" t="str">
        <f t="shared" si="1"/>
        <v>0</v>
      </c>
      <c r="E34" s="1" t="str">
        <f t="shared" si="2"/>
        <v>Sunday</v>
      </c>
      <c r="F34" s="11" t="str">
        <f t="shared" si="3"/>
        <v>24</v>
      </c>
    </row>
    <row r="35" spans="1:6" x14ac:dyDescent="0.25">
      <c r="A35" s="7" t="s">
        <v>141</v>
      </c>
      <c r="B35" s="11" t="str">
        <f t="shared" si="4"/>
        <v>20038</v>
      </c>
      <c r="C35" s="1" t="str">
        <f t="shared" si="0"/>
        <v>Monday</v>
      </c>
      <c r="D35" s="11" t="str">
        <f t="shared" si="1"/>
        <v>0</v>
      </c>
      <c r="E35" s="1" t="str">
        <f t="shared" si="2"/>
        <v>Sunday</v>
      </c>
      <c r="F35" s="11" t="str">
        <f t="shared" si="3"/>
        <v>24</v>
      </c>
    </row>
    <row r="36" spans="1:6" x14ac:dyDescent="0.25">
      <c r="A36" s="7" t="s">
        <v>142</v>
      </c>
      <c r="B36" s="11" t="str">
        <f t="shared" si="4"/>
        <v>20040</v>
      </c>
      <c r="C36" s="1" t="str">
        <f t="shared" si="0"/>
        <v>Monday</v>
      </c>
      <c r="D36" s="11" t="str">
        <f t="shared" si="1"/>
        <v>0</v>
      </c>
      <c r="E36" s="1" t="str">
        <f t="shared" si="2"/>
        <v>Sunday</v>
      </c>
      <c r="F36" s="11" t="str">
        <f t="shared" si="3"/>
        <v>24</v>
      </c>
    </row>
    <row r="37" spans="1:6" x14ac:dyDescent="0.25">
      <c r="A37" s="7" t="s">
        <v>143</v>
      </c>
      <c r="B37" s="11" t="str">
        <f t="shared" si="4"/>
        <v>20042</v>
      </c>
      <c r="C37" s="1" t="str">
        <f t="shared" si="0"/>
        <v>Monday</v>
      </c>
      <c r="D37" s="11" t="str">
        <f t="shared" si="1"/>
        <v>0</v>
      </c>
      <c r="E37" s="1" t="str">
        <f t="shared" si="2"/>
        <v>Sunday</v>
      </c>
      <c r="F37" s="11" t="str">
        <f t="shared" si="3"/>
        <v>24</v>
      </c>
    </row>
    <row r="38" spans="1:6" x14ac:dyDescent="0.25">
      <c r="A38" s="7" t="s">
        <v>144</v>
      </c>
      <c r="B38" s="11" t="str">
        <f t="shared" si="4"/>
        <v>20044</v>
      </c>
      <c r="C38" s="1" t="str">
        <f t="shared" si="0"/>
        <v>Monday</v>
      </c>
      <c r="D38" s="11" t="str">
        <f t="shared" si="1"/>
        <v>0</v>
      </c>
      <c r="E38" s="1" t="str">
        <f t="shared" si="2"/>
        <v>Sunday</v>
      </c>
      <c r="F38" s="11" t="str">
        <f t="shared" si="3"/>
        <v>24</v>
      </c>
    </row>
    <row r="39" spans="1:6" x14ac:dyDescent="0.25">
      <c r="A39" s="7" t="s">
        <v>145</v>
      </c>
      <c r="B39" s="11" t="str">
        <f t="shared" si="4"/>
        <v>20046</v>
      </c>
      <c r="C39" s="1" t="str">
        <f t="shared" si="0"/>
        <v>Monday</v>
      </c>
      <c r="D39" s="11" t="str">
        <f t="shared" si="1"/>
        <v>0</v>
      </c>
      <c r="E39" s="1" t="str">
        <f t="shared" si="2"/>
        <v>Sunday</v>
      </c>
      <c r="F39" s="11" t="str">
        <f t="shared" si="3"/>
        <v>24</v>
      </c>
    </row>
    <row r="40" spans="1:6" x14ac:dyDescent="0.25">
      <c r="A40" s="7" t="s">
        <v>146</v>
      </c>
      <c r="B40" s="11" t="str">
        <f t="shared" si="4"/>
        <v>20048</v>
      </c>
      <c r="C40" s="1" t="str">
        <f t="shared" si="0"/>
        <v>Monday</v>
      </c>
      <c r="D40" s="11" t="str">
        <f t="shared" si="1"/>
        <v>0</v>
      </c>
      <c r="E40" s="1" t="str">
        <f t="shared" si="2"/>
        <v>Sunday</v>
      </c>
      <c r="F40" s="11" t="str">
        <f t="shared" si="3"/>
        <v>24</v>
      </c>
    </row>
    <row r="41" spans="1:6" x14ac:dyDescent="0.25">
      <c r="A41" s="7" t="s">
        <v>147</v>
      </c>
      <c r="B41" s="11" t="str">
        <f t="shared" si="4"/>
        <v>20050</v>
      </c>
      <c r="C41" s="1" t="str">
        <f t="shared" si="0"/>
        <v>Monday</v>
      </c>
      <c r="D41" s="11" t="str">
        <f t="shared" si="1"/>
        <v>0</v>
      </c>
      <c r="E41" s="1" t="str">
        <f t="shared" si="2"/>
        <v>Sunday</v>
      </c>
      <c r="F41" s="11" t="str">
        <f t="shared" si="3"/>
        <v>24</v>
      </c>
    </row>
    <row r="42" spans="1:6" x14ac:dyDescent="0.25">
      <c r="A42" s="7" t="s">
        <v>148</v>
      </c>
      <c r="B42" s="11" t="str">
        <f t="shared" si="4"/>
        <v>20052</v>
      </c>
      <c r="C42" s="1" t="str">
        <f t="shared" si="0"/>
        <v>Monday</v>
      </c>
      <c r="D42" s="11" t="str">
        <f t="shared" si="1"/>
        <v>0</v>
      </c>
      <c r="E42" s="1" t="str">
        <f t="shared" si="2"/>
        <v>Sunday</v>
      </c>
      <c r="F42" s="11" t="str">
        <f t="shared" si="3"/>
        <v>24</v>
      </c>
    </row>
    <row r="43" spans="1:6" x14ac:dyDescent="0.25">
      <c r="A43" s="7" t="s">
        <v>149</v>
      </c>
      <c r="B43" s="11" t="str">
        <f t="shared" si="4"/>
        <v>20054</v>
      </c>
      <c r="C43" s="1" t="str">
        <f t="shared" si="0"/>
        <v>Monday</v>
      </c>
      <c r="D43" s="11" t="str">
        <f t="shared" si="1"/>
        <v>0</v>
      </c>
      <c r="E43" s="1" t="str">
        <f t="shared" si="2"/>
        <v>Sunday</v>
      </c>
      <c r="F43" s="11" t="str">
        <f t="shared" si="3"/>
        <v>24</v>
      </c>
    </row>
    <row r="44" spans="1:6" x14ac:dyDescent="0.25">
      <c r="A44" s="7" t="s">
        <v>150</v>
      </c>
      <c r="B44" s="11" t="str">
        <f t="shared" si="4"/>
        <v>20058</v>
      </c>
      <c r="C44" s="1" t="str">
        <f t="shared" si="0"/>
        <v>Monday</v>
      </c>
      <c r="D44" s="11" t="str">
        <f t="shared" si="1"/>
        <v>0</v>
      </c>
      <c r="E44" s="1" t="str">
        <f t="shared" si="2"/>
        <v>Sunday</v>
      </c>
      <c r="F44" s="11" t="str">
        <f t="shared" si="3"/>
        <v>24</v>
      </c>
    </row>
    <row r="45" spans="1:6" x14ac:dyDescent="0.25">
      <c r="A45" s="7" t="s">
        <v>151</v>
      </c>
      <c r="B45" s="11" t="str">
        <f t="shared" si="4"/>
        <v>20060</v>
      </c>
      <c r="C45" s="1" t="str">
        <f t="shared" si="0"/>
        <v>Monday</v>
      </c>
      <c r="D45" s="11" t="str">
        <f t="shared" si="1"/>
        <v>0</v>
      </c>
      <c r="E45" s="1" t="str">
        <f t="shared" si="2"/>
        <v>Sunday</v>
      </c>
      <c r="F45" s="11" t="str">
        <f t="shared" si="3"/>
        <v>24</v>
      </c>
    </row>
    <row r="46" spans="1:6" x14ac:dyDescent="0.25">
      <c r="A46" s="7" t="s">
        <v>113</v>
      </c>
      <c r="B46" s="11" t="str">
        <f t="shared" si="4"/>
        <v>21000</v>
      </c>
      <c r="C46" s="1" t="str">
        <f t="shared" si="0"/>
        <v>Monday</v>
      </c>
      <c r="D46" s="11" t="str">
        <f t="shared" si="1"/>
        <v>0</v>
      </c>
      <c r="E46" s="1" t="str">
        <f t="shared" si="2"/>
        <v>Sunday</v>
      </c>
      <c r="F46" s="11" t="str">
        <f t="shared" si="3"/>
        <v>24</v>
      </c>
    </row>
    <row r="47" spans="1:6" x14ac:dyDescent="0.25">
      <c r="A47" s="7" t="s">
        <v>114</v>
      </c>
      <c r="B47" s="11" t="str">
        <f t="shared" si="4"/>
        <v>21002</v>
      </c>
      <c r="C47" s="1" t="str">
        <f t="shared" si="0"/>
        <v>Monday</v>
      </c>
      <c r="D47" s="11" t="str">
        <f t="shared" si="1"/>
        <v>0</v>
      </c>
      <c r="E47" s="1" t="str">
        <f t="shared" si="2"/>
        <v>Sunday</v>
      </c>
      <c r="F47" s="11" t="str">
        <f t="shared" si="3"/>
        <v>24</v>
      </c>
    </row>
    <row r="48" spans="1:6" x14ac:dyDescent="0.25">
      <c r="A48" s="7" t="s">
        <v>115</v>
      </c>
      <c r="B48" s="11" t="str">
        <f t="shared" si="4"/>
        <v>21004</v>
      </c>
      <c r="C48" s="1" t="str">
        <f t="shared" si="0"/>
        <v>Monday</v>
      </c>
      <c r="D48" s="11" t="str">
        <f t="shared" si="1"/>
        <v>0</v>
      </c>
      <c r="E48" s="1" t="str">
        <f t="shared" si="2"/>
        <v>Sunday</v>
      </c>
      <c r="F48" s="11" t="str">
        <f t="shared" si="3"/>
        <v>24</v>
      </c>
    </row>
    <row r="49" spans="1:6" x14ac:dyDescent="0.25">
      <c r="A49" s="7" t="s">
        <v>116</v>
      </c>
      <c r="B49" s="11" t="str">
        <f t="shared" si="4"/>
        <v>21006</v>
      </c>
      <c r="C49" s="1" t="str">
        <f t="shared" si="0"/>
        <v>Monday</v>
      </c>
      <c r="D49" s="11" t="str">
        <f t="shared" si="1"/>
        <v>0</v>
      </c>
      <c r="E49" s="1" t="str">
        <f t="shared" si="2"/>
        <v>Sunday</v>
      </c>
      <c r="F49" s="11" t="str">
        <f t="shared" si="3"/>
        <v>24</v>
      </c>
    </row>
    <row r="50" spans="1:6" x14ac:dyDescent="0.25">
      <c r="A50" s="7" t="s">
        <v>117</v>
      </c>
      <c r="B50" s="11" t="str">
        <f t="shared" si="4"/>
        <v>21008</v>
      </c>
      <c r="C50" s="1" t="str">
        <f t="shared" si="0"/>
        <v>Monday</v>
      </c>
      <c r="D50" s="11" t="str">
        <f t="shared" si="1"/>
        <v>0</v>
      </c>
      <c r="E50" s="1" t="str">
        <f t="shared" si="2"/>
        <v>Sunday</v>
      </c>
      <c r="F50" s="11" t="str">
        <f t="shared" si="3"/>
        <v>24</v>
      </c>
    </row>
    <row r="51" spans="1:6" x14ac:dyDescent="0.25">
      <c r="A51" s="7" t="s">
        <v>118</v>
      </c>
      <c r="B51" s="11" t="str">
        <f t="shared" si="4"/>
        <v>21010</v>
      </c>
      <c r="C51" s="1" t="str">
        <f t="shared" si="0"/>
        <v>Monday</v>
      </c>
      <c r="D51" s="11" t="str">
        <f t="shared" si="1"/>
        <v>0</v>
      </c>
      <c r="E51" s="1" t="str">
        <f t="shared" si="2"/>
        <v>Sunday</v>
      </c>
      <c r="F51" s="11" t="str">
        <f t="shared" si="3"/>
        <v>24</v>
      </c>
    </row>
    <row r="52" spans="1:6" x14ac:dyDescent="0.25">
      <c r="A52" s="7" t="s">
        <v>119</v>
      </c>
      <c r="B52" s="11" t="str">
        <f t="shared" si="4"/>
        <v>21012</v>
      </c>
      <c r="C52" s="1" t="str">
        <f t="shared" si="0"/>
        <v>Monday</v>
      </c>
      <c r="D52" s="11" t="str">
        <f t="shared" si="1"/>
        <v>0</v>
      </c>
      <c r="E52" s="1" t="str">
        <f t="shared" si="2"/>
        <v>Sunday</v>
      </c>
      <c r="F52" s="11" t="str">
        <f t="shared" si="3"/>
        <v>24</v>
      </c>
    </row>
    <row r="53" spans="1:6" x14ac:dyDescent="0.25">
      <c r="A53" s="7" t="s">
        <v>120</v>
      </c>
      <c r="B53" s="11" t="str">
        <f t="shared" si="4"/>
        <v>21014</v>
      </c>
      <c r="C53" s="1" t="str">
        <f t="shared" si="0"/>
        <v>Monday</v>
      </c>
      <c r="D53" s="11" t="str">
        <f t="shared" si="1"/>
        <v>0</v>
      </c>
      <c r="E53" s="1" t="str">
        <f t="shared" si="2"/>
        <v>Sunday</v>
      </c>
      <c r="F53" s="11" t="str">
        <f t="shared" si="3"/>
        <v>24</v>
      </c>
    </row>
    <row r="54" spans="1:6" x14ac:dyDescent="0.25">
      <c r="A54" s="9" t="s">
        <v>121</v>
      </c>
      <c r="B54" s="11" t="str">
        <f t="shared" si="4"/>
        <v>21016</v>
      </c>
      <c r="C54" s="1" t="str">
        <f t="shared" si="0"/>
        <v>Monday</v>
      </c>
      <c r="D54" s="11" t="str">
        <f t="shared" si="1"/>
        <v>0</v>
      </c>
      <c r="E54" s="1" t="str">
        <f t="shared" si="2"/>
        <v>Sunday</v>
      </c>
      <c r="F54" s="11" t="str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G14" sqref="G14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168</v>
      </c>
    </row>
    <row r="2" spans="1:3" ht="18.75" x14ac:dyDescent="0.3">
      <c r="B2" s="39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 t="s">
        <v>188</v>
      </c>
    </row>
    <row r="7" spans="1:3" ht="15" x14ac:dyDescent="0.25">
      <c r="A7" s="3" t="s">
        <v>154</v>
      </c>
      <c r="B7" s="54" t="s">
        <v>189</v>
      </c>
    </row>
    <row r="8" spans="1:3" ht="15.75" x14ac:dyDescent="0.2">
      <c r="B8" s="55" t="s">
        <v>190</v>
      </c>
    </row>
    <row r="9" spans="1:3" ht="15.75" x14ac:dyDescent="0.2">
      <c r="B9" s="55" t="s">
        <v>191</v>
      </c>
    </row>
    <row r="10" spans="1:3" ht="23.25" x14ac:dyDescent="0.35">
      <c r="A10" s="17" t="s">
        <v>163</v>
      </c>
      <c r="B10" s="53"/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155</v>
      </c>
      <c r="C17" s="16">
        <v>150</v>
      </c>
    </row>
    <row r="18" spans="1:3" ht="15" x14ac:dyDescent="0.25">
      <c r="A18" s="31">
        <v>44933</v>
      </c>
      <c r="B18" s="16" t="s">
        <v>156</v>
      </c>
      <c r="C18" s="16">
        <v>80</v>
      </c>
    </row>
    <row r="19" spans="1:3" ht="15" x14ac:dyDescent="0.25">
      <c r="A19" s="31">
        <v>44934</v>
      </c>
      <c r="B19" s="16" t="s">
        <v>157</v>
      </c>
      <c r="C19" s="16" t="e">
        <v>#N/A</v>
      </c>
    </row>
    <row r="20" spans="1:3" ht="15" x14ac:dyDescent="0.25">
      <c r="A20" s="31">
        <v>44935</v>
      </c>
      <c r="B20" s="16" t="s">
        <v>158</v>
      </c>
      <c r="C20" s="16">
        <v>30</v>
      </c>
    </row>
    <row r="21" spans="1:3" ht="15" x14ac:dyDescent="0.25">
      <c r="A21" s="31">
        <v>44936</v>
      </c>
      <c r="B21" s="16" t="s">
        <v>159</v>
      </c>
      <c r="C21" s="16" t="e">
        <v>#N/A</v>
      </c>
    </row>
    <row r="22" spans="1:3" ht="15" x14ac:dyDescent="0.25">
      <c r="B22" s="16" t="s">
        <v>160</v>
      </c>
      <c r="C22" s="48">
        <f>SUMIFS(C12:C21, C12:C21, "&lt;&gt;#N/A", C12:C21, "&lt;&gt;#N/A") + COUNTIF(C12:C21, "#N/A") * 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176</v>
      </c>
    </row>
    <row r="3" spans="1:14" ht="15" x14ac:dyDescent="0.25">
      <c r="B3" s="1" t="s">
        <v>152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154</v>
      </c>
      <c r="B5" s="1"/>
    </row>
    <row r="6" spans="1:14" ht="15" x14ac:dyDescent="0.25">
      <c r="A6" s="3"/>
      <c r="B6" s="1"/>
    </row>
    <row r="8" spans="1:14" ht="23.25" x14ac:dyDescent="0.35">
      <c r="A8" s="17" t="s">
        <v>163</v>
      </c>
      <c r="M8" s="17" t="s">
        <v>164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169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7"/>
    </row>
    <row r="24" spans="1:14" ht="15" x14ac:dyDescent="0.25">
      <c r="A24" s="7">
        <v>10100</v>
      </c>
      <c r="B24" s="11">
        <v>10104</v>
      </c>
      <c r="C24" s="43"/>
    </row>
    <row r="25" spans="1:14" ht="15" x14ac:dyDescent="0.25">
      <c r="A25" s="7">
        <v>10108</v>
      </c>
      <c r="B25" s="11">
        <v>10102</v>
      </c>
      <c r="C25" s="43"/>
    </row>
    <row r="26" spans="1:14" ht="15" x14ac:dyDescent="0.25">
      <c r="A26" s="7">
        <v>10100</v>
      </c>
      <c r="B26" s="11">
        <v>10106</v>
      </c>
      <c r="C26" s="43"/>
    </row>
    <row r="27" spans="1:14" ht="15" x14ac:dyDescent="0.25">
      <c r="A27" s="7">
        <v>10108</v>
      </c>
      <c r="B27" s="11">
        <v>10110</v>
      </c>
      <c r="C27" s="43"/>
    </row>
    <row r="28" spans="1:14" ht="15" x14ac:dyDescent="0.25">
      <c r="A28" s="7">
        <v>10102</v>
      </c>
      <c r="B28" s="11">
        <v>10104</v>
      </c>
      <c r="C28" s="43"/>
    </row>
    <row r="29" spans="1:14" ht="15" x14ac:dyDescent="0.25">
      <c r="A29" s="7">
        <v>10106</v>
      </c>
      <c r="B29" s="11">
        <v>10108</v>
      </c>
      <c r="C29" s="43"/>
    </row>
    <row r="30" spans="1:14" ht="15" x14ac:dyDescent="0.25">
      <c r="A30" s="7">
        <v>10102</v>
      </c>
      <c r="B30" s="11">
        <v>10106</v>
      </c>
      <c r="C30" s="43"/>
    </row>
    <row r="31" spans="1:14" ht="15" x14ac:dyDescent="0.25">
      <c r="A31" s="7">
        <v>10110</v>
      </c>
      <c r="B31" s="11">
        <v>10114</v>
      </c>
      <c r="C31" s="43"/>
    </row>
    <row r="32" spans="1:14" ht="15" x14ac:dyDescent="0.25">
      <c r="A32" s="7">
        <v>10104</v>
      </c>
      <c r="B32" s="11">
        <v>10106</v>
      </c>
      <c r="C32" s="43"/>
    </row>
    <row r="33" spans="1:3" ht="15" x14ac:dyDescent="0.25">
      <c r="A33" s="7">
        <v>10110</v>
      </c>
      <c r="B33" s="11">
        <v>10112</v>
      </c>
      <c r="C33" s="43"/>
    </row>
    <row r="34" spans="1:3" ht="15" x14ac:dyDescent="0.25">
      <c r="A34" s="7">
        <v>10100</v>
      </c>
      <c r="B34" s="11">
        <v>10114</v>
      </c>
      <c r="C34" s="43"/>
    </row>
    <row r="35" spans="1:3" ht="15" x14ac:dyDescent="0.25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anshu dongre</cp:lastModifiedBy>
  <dcterms:created xsi:type="dcterms:W3CDTF">2015-02-10T17:33:11Z</dcterms:created>
  <dcterms:modified xsi:type="dcterms:W3CDTF">2023-12-11T17:12:11Z</dcterms:modified>
</cp:coreProperties>
</file>