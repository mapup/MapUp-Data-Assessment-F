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176428E6-CC11-C334-683E-B6102A28F97D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D B\OneDrive\Desktop\MapUP\MapUp-Data-Assessment-F\"/>
    </mc:Choice>
  </mc:AlternateContent>
  <bookViews>
    <workbookView xWindow="0" yWindow="495" windowWidth="29400" windowHeight="16305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/>
  <c r="C25" i="20"/>
  <c r="C24" i="20"/>
  <c r="C26" i="20"/>
  <c r="C27" i="20"/>
  <c r="C28" i="20"/>
  <c r="C29" i="20"/>
  <c r="C30" i="20"/>
  <c r="C31" i="20"/>
  <c r="C32" i="20"/>
  <c r="C33" i="20"/>
  <c r="C34" i="20"/>
  <c r="C35" i="20"/>
  <c r="C23" i="20"/>
  <c r="C30" i="18"/>
  <c r="D30" i="18"/>
  <c r="E30" i="18"/>
  <c r="F30" i="18"/>
  <c r="B30" i="18"/>
  <c r="C28" i="18"/>
  <c r="D28" i="18"/>
  <c r="E28" i="18"/>
  <c r="F28" i="18"/>
  <c r="B28" i="18"/>
  <c r="C29" i="18"/>
  <c r="D29" i="18"/>
  <c r="E29" i="18"/>
  <c r="F29" i="18"/>
  <c r="B29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9" i="18"/>
  <c r="B10" i="18"/>
  <c r="B8" i="18"/>
  <c r="B7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C6" i="18"/>
  <c r="B6" i="18"/>
</calcChain>
</file>

<file path=xl/sharedStrings.xml><?xml version="1.0" encoding="utf-8"?>
<sst xmlns="http://schemas.openxmlformats.org/spreadsheetml/2006/main" count="403" uniqueCount="184">
  <si>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</si>
  <si>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</si>
  <si>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</si>
  <si>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</si>
  <si>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</si>
  <si>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</si>
  <si>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</si>
  <si>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</si>
  <si>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</si>
  <si>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</si>
  <si>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</si>
  <si>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</si>
  <si>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</si>
  <si>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</si>
  <si>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</si>
  <si>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</si>
  <si>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</si>
  <si>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</si>
  <si>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</si>
  <si>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</si>
  <si>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</si>
  <si>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</si>
  <si>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</si>
  <si>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</si>
  <si>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</si>
  <si>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</si>
  <si>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</si>
  <si>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</si>
  <si>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</si>
  <si>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</si>
  <si>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</si>
  <si>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</si>
  <si>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</si>
  <si>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</si>
  <si>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</si>
  <si>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</si>
  <si>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</si>
  <si>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</si>
  <si>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</si>
  <si>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</si>
  <si>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</si>
  <si>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</si>
  <si>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</si>
  <si>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</si>
  <si>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</si>
  <si>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</si>
  <si>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</si>
  <si>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</si>
  <si>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</si>
  <si>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</si>
  <si>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</si>
  <si>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</si>
  <si>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</si>
  <si>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</si>
  <si>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</si>
  <si>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</si>
  <si>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</si>
  <si>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</si>
  <si>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</si>
  <si>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</si>
  <si>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</si>
  <si>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</si>
  <si>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</si>
  <si>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</si>
  <si>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</si>
  <si>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</si>
  <si>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</si>
  <si>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</si>
  <si>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</si>
  <si>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</si>
  <si>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</si>
  <si>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</si>
  <si>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</si>
  <si>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</si>
  <si>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</si>
  <si>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</si>
  <si>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</si>
  <si>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</si>
  <si>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</si>
  <si>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</si>
  <si>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</si>
  <si>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</si>
  <si>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</si>
  <si>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</si>
  <si>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</si>
  <si>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</si>
  <si>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</si>
  <si>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</si>
  <si>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</si>
  <si>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</si>
  <si>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</si>
  <si>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</si>
  <si>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</si>
  <si>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</si>
  <si>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</si>
  <si>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</si>
  <si>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</si>
  <si>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</si>
  <si>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</si>
  <si>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</si>
  <si>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</si>
  <si>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</si>
  <si>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</si>
  <si>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</si>
  <si>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</si>
  <si>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</si>
  <si>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</si>
  <si>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</si>
  <si>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</si>
  <si>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</si>
  <si>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</si>
  <si>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</si>
  <si>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</si>
  <si>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</si>
  <si>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</si>
  <si>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</si>
  <si>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</si>
  <si>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</si>
  <si>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</si>
  <si>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</si>
  <si>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</si>
  <si>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</si>
  <si>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</si>
  <si>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</si>
  <si>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</si>
  <si>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</si>
  <si>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</si>
  <si>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</si>
  <si>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</si>
  <si>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</si>
  <si>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</si>
  <si>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</si>
  <si>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</si>
  <si>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</si>
  <si>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</si>
  <si>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</si>
  <si>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</si>
  <si>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</si>
  <si>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</si>
  <si>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</si>
  <si>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</si>
  <si>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</si>
  <si>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</si>
  <si>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</si>
  <si>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</si>
  <si>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</si>
  <si>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</si>
  <si>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</si>
  <si>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</si>
  <si>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</si>
  <si>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</si>
  <si>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</si>
  <si>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</si>
  <si>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</si>
  <si>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</si>
  <si>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</si>
  <si>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</si>
  <si>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</si>
  <si>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</si>
  <si>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</si>
  <si>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</si>
  <si>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</si>
  <si>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</si>
  <si>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</si>
  <si>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</si>
  <si>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</si>
  <si>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</si>
  <si>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</si>
  <si>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</si>
  <si>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</si>
  <si>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</si>
  <si>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</si>
  <si>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</si>
  <si>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</si>
  <si>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SUMIFS(H2:H40,H2:H40,"&gt;20")</t>
  </si>
  <si>
    <t>Formula/Functionality used: =INDEX(B$10:J$18, MATCH(INDEX(N$10:N$18, MATCH(A25, M$10:M$18, 0), 1), A$10:A$18, 0), MATCH(INDEX(N$10:N$18, MATCH(B25, M$10:M$18, 0), 1), B$9:J$9, 0))</t>
  </si>
  <si>
    <t>Explanation: The formula uses INDEX and MATCH functions together to access the value in Table_A corresponding to the name_1 and name_2 values with respect to It Names in Table_B. It first finds the corresponding letter code from Table_B by Indexing and then uses again Indexing with Matching to find the values for the letter pairs.</t>
  </si>
  <si>
    <t>Formula/Functionality used: =SUM(IF(ISNUMBER(C12:C21), C12:C21, 20))</t>
  </si>
  <si>
    <t>Explanation:The function calculates the sum along with an if condition, where the SUM function takes the value as it is from the column if it is a number otherwise takes 20.</t>
  </si>
  <si>
    <t>Formula/Functionality used: Text to column functionality.</t>
  </si>
  <si>
    <t>Explanation:All the cells to be split are selected and the Text to Columns functionality is used with delimiter '-' and distributed them among columns 'col_1' to 'col_6'.</t>
  </si>
  <si>
    <t>Red, Green - Conditional formatting</t>
  </si>
  <si>
    <t>Freeze panes from View tab</t>
  </si>
  <si>
    <t>Formatting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</si>
</sst>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hh:mm:ss;@"/>
    <numFmt numFmtId="165" formatCode="yyyy\-mm\-dd;@"/>
    <numFmt numFmtId="166" formatCode="dd/mm/yyyy"/>
    <numFmt numFmtId="167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2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B1" sqref="B1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40" t="s">
        <v>106</v>
      </c>
    </row>
    <row r="2" spans="1:3" x14ac:dyDescent="0.2">
      <c r="A2" s="2" t="s">
        <v>107</v>
      </c>
    </row>
    <row r="3" spans="1:3" x14ac:dyDescent="0.2">
      <c r="A3" s="2" t="s">
        <v>108</v>
      </c>
    </row>
    <row r="4" spans="1:3" ht="15" x14ac:dyDescent="0.25">
      <c r="A4" s="2" t="s">
        <v>109</v>
      </c>
      <c r="C4" s="1"/>
    </row>
    <row r="5" spans="1:3" x14ac:dyDescent="0.2">
      <c r="A5" s="2" t="s">
        <v>150</v>
      </c>
    </row>
    <row r="8" spans="1:3" x14ac:dyDescent="0.2">
      <c r="A8" s="2" t="s">
        <v>170</v>
      </c>
    </row>
    <row r="9" spans="1:3" x14ac:dyDescent="0.2">
      <c r="A9" s="37" t="s">
        <v>168</v>
      </c>
      <c r="B9" s="26" t="s">
        <v>166</v>
      </c>
    </row>
    <row r="10" spans="1:3" x14ac:dyDescent="0.2">
      <c r="A10" s="36" t="s">
        <v>169</v>
      </c>
      <c r="B10" s="38">
        <v>25</v>
      </c>
    </row>
    <row r="11" spans="1:3" x14ac:dyDescent="0.2">
      <c r="A11" s="36" t="s">
        <v>53</v>
      </c>
      <c r="B11" s="38">
        <v>30</v>
      </c>
    </row>
    <row r="12" spans="1:3" x14ac:dyDescent="0.2">
      <c r="A12" s="36" t="s">
        <v>54</v>
      </c>
      <c r="B12" s="38">
        <v>10</v>
      </c>
    </row>
    <row r="13" spans="1:3" x14ac:dyDescent="0.2">
      <c r="A13" s="36" t="s">
        <v>83</v>
      </c>
      <c r="B13" s="38">
        <v>20</v>
      </c>
    </row>
    <row r="14" spans="1:3" x14ac:dyDescent="0.2">
      <c r="A14" s="36" t="s">
        <v>96</v>
      </c>
      <c r="B14" s="38">
        <v>40</v>
      </c>
    </row>
    <row r="15" spans="1:3" x14ac:dyDescent="0.2">
      <c r="A15" s="39" t="s">
        <v>167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abSelected="1" topLeftCell="H1" zoomScale="85" zoomScaleNormal="85" workbookViewId="0">
      <pane ySplit="1" topLeftCell="A2" activePane="bottomLeft" state="frozen"/>
      <selection pane="bottomLeft" activeCell="K21" sqref="K21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8" t="s">
        <v>62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77</v>
      </c>
      <c r="H1" s="30" t="s">
        <v>63</v>
      </c>
      <c r="I1" s="30" t="s">
        <v>64</v>
      </c>
      <c r="J1" s="31" t="s">
        <v>65</v>
      </c>
      <c r="K1" s="31" t="s">
        <v>66</v>
      </c>
      <c r="L1" s="31" t="s">
        <v>67</v>
      </c>
      <c r="M1" s="30" t="s">
        <v>68</v>
      </c>
      <c r="N1" s="30" t="s">
        <v>69</v>
      </c>
      <c r="O1" s="30" t="s">
        <v>70</v>
      </c>
      <c r="P1" s="31" t="s">
        <v>71</v>
      </c>
      <c r="Q1" s="31" t="s">
        <v>72</v>
      </c>
      <c r="R1" s="31" t="s">
        <v>73</v>
      </c>
      <c r="S1" s="30" t="s">
        <v>78</v>
      </c>
      <c r="T1" s="30" t="s">
        <v>74</v>
      </c>
      <c r="U1" s="31" t="s">
        <v>79</v>
      </c>
      <c r="V1" s="31" t="s">
        <v>75</v>
      </c>
      <c r="W1" s="31" t="s">
        <v>76</v>
      </c>
      <c r="X1" s="3" t="s">
        <v>103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55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56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9" priority="10"/>
  </conditionalFormatting>
  <conditionalFormatting sqref="B1:B1048576">
    <cfRule type="duplicateValues" dxfId="8" priority="9"/>
  </conditionalFormatting>
  <conditionalFormatting sqref="J7">
    <cfRule type="cellIs" dxfId="7" priority="5" operator="equal">
      <formula>-1</formula>
    </cfRule>
    <cfRule type="cellIs" dxfId="6" priority="7" operator="equal">
      <formula>-1</formula>
    </cfRule>
    <cfRule type="cellIs" dxfId="5" priority="8" operator="equal">
      <formula>-1</formula>
    </cfRule>
  </conditionalFormatting>
  <conditionalFormatting sqref="J2:L11">
    <cfRule type="cellIs" dxfId="4" priority="6" operator="equal">
      <formula>-1</formula>
    </cfRule>
  </conditionalFormatting>
  <conditionalFormatting sqref="A1:XFD1048576">
    <cfRule type="expression" dxfId="3" priority="3">
      <formula>A1=-1</formula>
    </cfRule>
    <cfRule type="expression" dxfId="2" priority="4">
      <formula>$A$2=-1</formula>
    </cfRule>
  </conditionalFormatting>
  <conditionalFormatting sqref="G12:W12">
    <cfRule type="cellIs" dxfId="1" priority="2" operator="equal">
      <formula>0</formula>
    </cfRule>
  </conditionalFormatting>
  <conditionalFormatting sqref="G26:W2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12" sqref="C12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46</v>
      </c>
      <c r="B1" s="4" t="s">
        <v>47</v>
      </c>
      <c r="C1" s="4" t="s">
        <v>44</v>
      </c>
      <c r="E1" s="4" t="s">
        <v>173</v>
      </c>
    </row>
    <row r="2" spans="1:5" x14ac:dyDescent="0.25">
      <c r="A2" s="2"/>
      <c r="B2" s="5" t="s">
        <v>157</v>
      </c>
      <c r="C2" s="2"/>
    </row>
    <row r="3" spans="1:5" x14ac:dyDescent="0.25">
      <c r="A3" s="6">
        <v>1</v>
      </c>
      <c r="B3" s="2" t="s">
        <v>105</v>
      </c>
      <c r="C3" s="2" t="s">
        <v>181</v>
      </c>
      <c r="E3" s="1">
        <v>5</v>
      </c>
    </row>
    <row r="4" spans="1:5" x14ac:dyDescent="0.25">
      <c r="A4" s="6">
        <v>2</v>
      </c>
      <c r="B4" s="2" t="s">
        <v>45</v>
      </c>
      <c r="C4" s="2" t="s">
        <v>182</v>
      </c>
      <c r="E4" s="1">
        <v>5</v>
      </c>
    </row>
    <row r="5" spans="1:5" x14ac:dyDescent="0.25">
      <c r="A5" s="6">
        <v>3</v>
      </c>
      <c r="B5" s="2" t="s">
        <v>102</v>
      </c>
      <c r="C5" s="35" t="s">
        <v>174</v>
      </c>
      <c r="E5" s="1">
        <v>10</v>
      </c>
    </row>
    <row r="6" spans="1:5" x14ac:dyDescent="0.25">
      <c r="A6" s="6">
        <v>4</v>
      </c>
      <c r="B6" s="2" t="s">
        <v>104</v>
      </c>
      <c r="C6" s="2" t="s">
        <v>183</v>
      </c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12" zoomScaleNormal="100" workbookViewId="0">
      <selection activeCell="E27" sqref="E2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2" customFormat="1" ht="21" x14ac:dyDescent="0.35">
      <c r="A1" s="43" t="s">
        <v>53</v>
      </c>
      <c r="B1" s="42" t="s">
        <v>161</v>
      </c>
    </row>
    <row r="2" spans="1:7" s="42" customFormat="1" ht="21" x14ac:dyDescent="0.35">
      <c r="B2" s="42" t="s">
        <v>158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159</v>
      </c>
      <c r="B4" s="1"/>
      <c r="C4" s="1"/>
      <c r="D4" s="1"/>
      <c r="E4" s="1"/>
      <c r="F4" s="1"/>
      <c r="G4" s="1"/>
    </row>
    <row r="5" spans="1:7" ht="15" x14ac:dyDescent="0.25">
      <c r="A5" s="20" t="s">
        <v>62</v>
      </c>
      <c r="B5" s="21" t="s">
        <v>77</v>
      </c>
      <c r="C5" s="22" t="s">
        <v>69</v>
      </c>
      <c r="D5" s="21" t="s">
        <v>73</v>
      </c>
      <c r="E5" s="22" t="s">
        <v>74</v>
      </c>
      <c r="F5" s="23" t="s">
        <v>75</v>
      </c>
    </row>
    <row r="6" spans="1:7" ht="15" x14ac:dyDescent="0.25">
      <c r="A6" s="7" t="s">
        <v>40</v>
      </c>
      <c r="B6" s="12">
        <f>Dataset!G2</f>
        <v>2.7</v>
      </c>
      <c r="C6" s="12">
        <f>Dataset!N2</f>
        <v>7.6</v>
      </c>
      <c r="D6" s="47">
        <v>4.2</v>
      </c>
      <c r="E6" s="12">
        <f>INDEX(Dataset!G2:W40, MATCH(Task_2!A6, Dataset!A2:A40, 0), MATCH(Task_2!E5, Dataset!G1:W1,0))</f>
        <v>8.9</v>
      </c>
      <c r="F6" s="8">
        <f>INDEX(Dataset!G$2:W$40, MATCH(Task_2!A6, Dataset!A$2:A$40, 0), MATCH(Task_2!F$5, Dataset!G$1:W$1,0))</f>
        <v>4.2</v>
      </c>
    </row>
    <row r="7" spans="1:7" ht="15" x14ac:dyDescent="0.25">
      <c r="A7" s="7" t="s">
        <v>4</v>
      </c>
      <c r="B7" s="12">
        <f>INDEX(Dataset!G$2:W$40, MATCH(Task_2!A7, Dataset!A$2:A$40, 0), MATCH(Task_2!B$5, Dataset!G$1:W$1,0))</f>
        <v>2.7</v>
      </c>
      <c r="C7" s="12">
        <f>INDEX(Dataset!G$2:W$40, MATCH(Task_2!A7, Dataset!A$2:A$40, 0), MATCH(Task_2!C$5, Dataset!G$1:W$1,0))</f>
        <v>7.6</v>
      </c>
      <c r="D7" s="12">
        <f>INDEX(Dataset!G$2:W$40, MATCH(Task_2!A7, Dataset!A$2:A$40, 0), MATCH(Task_2!D$5, Dataset!G$1:W$1,0))</f>
        <v>4.2</v>
      </c>
      <c r="E7" s="12">
        <f>INDEX(Dataset!G2:W40, MATCH(Task_2!A7, Dataset!A2:A40, 0), MATCH(Task_2!E5, Dataset!G1:W1,0))</f>
        <v>8.9</v>
      </c>
      <c r="F7" s="8">
        <f>INDEX(Dataset!G$2:W$40, MATCH(Task_2!A7, Dataset!A$2:A$40, 0), MATCH(Task_2!F$5, Dataset!G$1:W$1,0))</f>
        <v>4.2</v>
      </c>
    </row>
    <row r="8" spans="1:7" ht="15" x14ac:dyDescent="0.25">
      <c r="A8" s="7" t="s">
        <v>7</v>
      </c>
      <c r="B8" s="12">
        <f>INDEX(Dataset!G$2:W$40, MATCH(Task_2!A8, Dataset!A$2:A$40, 0), MATCH(Task_2!B$5, Dataset!G$1:W$1,0))</f>
        <v>3.6</v>
      </c>
      <c r="C8" s="12">
        <f>INDEX(Dataset!G$2:W$40, MATCH(Task_2!A8, Dataset!A$2:A$40, 0), MATCH(Task_2!C$5, Dataset!G$1:W$1,0))</f>
        <v>11.1</v>
      </c>
      <c r="D8" s="12">
        <f>INDEX(Dataset!G$2:W$40, MATCH(Task_2!A8, Dataset!A$2:A$40, 0), MATCH(Task_2!D$5, Dataset!G$1:W$1,0))</f>
        <v>5.8</v>
      </c>
      <c r="E8" s="12">
        <f>INDEX(Dataset!G2:W40, MATCH(Task_2!A8, Dataset!A2:A40, 0), MATCH(Task_2!E5, Dataset!G1:W1,0))</f>
        <v>12.2</v>
      </c>
      <c r="F8" s="8">
        <f>INDEX(Dataset!G$2:W$40, MATCH(Task_2!A8, Dataset!A$2:A$40, 0), MATCH(Task_2!F$5, Dataset!G$1:W$1,0))</f>
        <v>5.8</v>
      </c>
    </row>
    <row r="9" spans="1:7" ht="15" x14ac:dyDescent="0.25">
      <c r="A9" s="7" t="s">
        <v>8</v>
      </c>
      <c r="B9" s="12">
        <f>INDEX(Dataset!G$2:W$40, MATCH(Task_2!A9, Dataset!A$2:A$40, 0), MATCH(Task_2!B$5, Dataset!G$1:W$1,0))</f>
        <v>4.9000000000000004</v>
      </c>
      <c r="C9" s="12">
        <f>INDEX(Dataset!G$2:W$40, MATCH(Task_2!A9, Dataset!A$2:A$40, 0), MATCH(Task_2!C$5, Dataset!G$1:W$1,0))</f>
        <v>13.3</v>
      </c>
      <c r="D9" s="12">
        <f>INDEX(Dataset!G$2:W$40, MATCH(Task_2!A9, Dataset!A$2:A$40, 0), MATCH(Task_2!D$5, Dataset!G$1:W$1,0))</f>
        <v>8.1</v>
      </c>
      <c r="E9" s="12">
        <f>INDEX(Dataset!G2:W40, MATCH(Task_2!A9, Dataset!A2:A40, 0), MATCH(Task_2!E5, Dataset!G1:W1,0))</f>
        <v>17</v>
      </c>
      <c r="F9" s="8">
        <f>INDEX(Dataset!G$2:W$40, MATCH(Task_2!A9, Dataset!A$2:A$40, 0), MATCH(Task_2!F$5, Dataset!G$1:W$1,0))</f>
        <v>8.1</v>
      </c>
    </row>
    <row r="10" spans="1:7" ht="15" x14ac:dyDescent="0.25">
      <c r="A10" s="7" t="s">
        <v>11</v>
      </c>
      <c r="B10" s="12">
        <f>INDEX(Dataset!G$2:W$40, MATCH(Task_2!A10, Dataset!A$2:A$40, 0), MATCH(Task_2!B$5, Dataset!G$1:W$1,0))</f>
        <v>9.4</v>
      </c>
      <c r="C10" s="12">
        <f>INDEX(Dataset!G$2:W$40, MATCH(Task_2!A10, Dataset!A$2:A$40, 0), MATCH(Task_2!C$5, Dataset!G$1:W$1,0))</f>
        <v>28.3</v>
      </c>
      <c r="D10" s="12">
        <f>INDEX(Dataset!G$2:W$40, MATCH(Task_2!A10, Dataset!A$2:A$40, 0), MATCH(Task_2!D$5, Dataset!G$1:W$1,0))</f>
        <v>16.100000000000001</v>
      </c>
      <c r="E10" s="12">
        <f>INDEX(Dataset!G2:W40, MATCH(Task_2!A10, Dataset!A2:A40, 0), MATCH(Task_2!E5, Dataset!G1:W1,0))</f>
        <v>32.799999999999997</v>
      </c>
      <c r="F10" s="8">
        <f>INDEX(Dataset!G$2:W$40, MATCH(Task_2!A10, Dataset!A$2:A$40, 0), MATCH(Task_2!F$5, Dataset!G$1:W$1,0))</f>
        <v>16.100000000000001</v>
      </c>
    </row>
    <row r="11" spans="1:7" ht="15" x14ac:dyDescent="0.25">
      <c r="A11" s="7" t="s">
        <v>12</v>
      </c>
      <c r="B11" s="12">
        <f>INDEX(Dataset!G$2:W$40, MATCH(Task_2!A11, Dataset!A$2:A$40, 0), MATCH(Task_2!B$5, Dataset!G$1:W$1,0))</f>
        <v>11.6</v>
      </c>
      <c r="C11" s="12">
        <f>INDEX(Dataset!G$2:W$40, MATCH(Task_2!A11, Dataset!A$2:A$40, 0), MATCH(Task_2!C$5, Dataset!G$1:W$1,0))</f>
        <v>35.200000000000003</v>
      </c>
      <c r="D11" s="12">
        <f>INDEX(Dataset!G$2:W$40, MATCH(Task_2!A11, Dataset!A$2:A$40, 0), MATCH(Task_2!D$5, Dataset!G$1:W$1,0))</f>
        <v>21.3</v>
      </c>
      <c r="E11" s="12">
        <f>INDEX(Dataset!G2:W40, MATCH(Task_2!A11, Dataset!A2:A40, 0), MATCH(Task_2!E5, Dataset!G1:W1,0))</f>
        <v>43</v>
      </c>
      <c r="F11" s="8">
        <f>INDEX(Dataset!G$2:W$40, MATCH(Task_2!A11, Dataset!A$2:A$40, 0), MATCH(Task_2!F$5, Dataset!G$1:W$1,0))</f>
        <v>21.3</v>
      </c>
    </row>
    <row r="12" spans="1:7" ht="15" x14ac:dyDescent="0.25">
      <c r="A12" s="7" t="s">
        <v>14</v>
      </c>
      <c r="B12" s="12">
        <f>INDEX(Dataset!G$2:W$40, MATCH(Task_2!A12, Dataset!A$2:A$40, 0), MATCH(Task_2!B$5, Dataset!G$1:W$1,0))</f>
        <v>18.399999999999999</v>
      </c>
      <c r="C12" s="12">
        <f>INDEX(Dataset!G$2:W$40, MATCH(Task_2!A12, Dataset!A$2:A$40, 0), MATCH(Task_2!C$5, Dataset!G$1:W$1,0))</f>
        <v>55.6</v>
      </c>
      <c r="D12" s="12">
        <f>INDEX(Dataset!G$2:W$40, MATCH(Task_2!A12, Dataset!A$2:A$40, 0), MATCH(Task_2!D$5, Dataset!G$1:W$1,0))</f>
        <v>33.799999999999997</v>
      </c>
      <c r="E12" s="12">
        <f>INDEX(Dataset!G2:W40, MATCH(Task_2!A12, Dataset!A2:A40, 0), MATCH(Task_2!E5, Dataset!G1:W1,0))</f>
        <v>67.900000000000006</v>
      </c>
      <c r="F12" s="8">
        <f>INDEX(Dataset!G$2:W$40, MATCH(Task_2!A12, Dataset!A$2:A$40, 0), MATCH(Task_2!F$5, Dataset!G$1:W$1,0))</f>
        <v>33.799999999999997</v>
      </c>
    </row>
    <row r="13" spans="1:7" ht="15" x14ac:dyDescent="0.25">
      <c r="A13" s="7" t="s">
        <v>15</v>
      </c>
      <c r="B13" s="12">
        <f>INDEX(Dataset!G$2:W$40, MATCH(Task_2!A13, Dataset!A$2:A$40, 0), MATCH(Task_2!B$5, Dataset!G$1:W$1,0))</f>
        <v>0</v>
      </c>
      <c r="C13" s="12">
        <f>INDEX(Dataset!G$2:W$40, MATCH(Task_2!A13, Dataset!A$2:A$40, 0), MATCH(Task_2!C$5, Dataset!G$1:W$1,0))</f>
        <v>0</v>
      </c>
      <c r="D13" s="12">
        <f>INDEX(Dataset!G$2:W$40, MATCH(Task_2!A13, Dataset!A$2:A$40, 0), MATCH(Task_2!D$5, Dataset!G$1:W$1,0))</f>
        <v>0</v>
      </c>
      <c r="E13" s="12">
        <f>INDEX(Dataset!G2:W40, MATCH(Task_2!A13, Dataset!A2:A40, 0), MATCH(Task_2!E5, Dataset!G1:W1,0))</f>
        <v>0</v>
      </c>
      <c r="F13" s="8">
        <f>INDEX(Dataset!G$2:W$40, MATCH(Task_2!A13, Dataset!A$2:A$40, 0), MATCH(Task_2!F$5, Dataset!G$1:W$1,0))</f>
        <v>0</v>
      </c>
    </row>
    <row r="14" spans="1:7" ht="15" x14ac:dyDescent="0.25">
      <c r="A14" s="7" t="s">
        <v>16</v>
      </c>
      <c r="B14" s="12">
        <f>INDEX(Dataset!G$2:W$40, MATCH(Task_2!A14, Dataset!A$2:A$40, 0), MATCH(Task_2!B$5, Dataset!G$1:W$1,0))</f>
        <v>21.9</v>
      </c>
      <c r="C14" s="12">
        <f>INDEX(Dataset!G$2:W$40, MATCH(Task_2!A14, Dataset!A$2:A$40, 0), MATCH(Task_2!C$5, Dataset!G$1:W$1,0))</f>
        <v>61.5</v>
      </c>
      <c r="D14" s="12">
        <f>INDEX(Dataset!G$2:W$40, MATCH(Task_2!A14, Dataset!A$2:A$40, 0), MATCH(Task_2!D$5, Dataset!G$1:W$1,0))</f>
        <v>40.1</v>
      </c>
      <c r="E14" s="12">
        <f>INDEX(Dataset!G2:W40, MATCH(Task_2!A14, Dataset!A2:A40, 0), MATCH(Task_2!E5, Dataset!G1:W1,0))</f>
        <v>76.599999999999994</v>
      </c>
      <c r="F14" s="8">
        <f>INDEX(Dataset!G$2:W$40, MATCH(Task_2!A14, Dataset!A$2:A$40, 0), MATCH(Task_2!F$5, Dataset!G$1:W$1,0))</f>
        <v>40.1</v>
      </c>
    </row>
    <row r="15" spans="1:7" ht="15" x14ac:dyDescent="0.25">
      <c r="A15" s="7" t="s">
        <v>18</v>
      </c>
      <c r="B15" s="12">
        <f>INDEX(Dataset!G$2:W$40, MATCH(Task_2!A15, Dataset!A$2:A$40, 0), MATCH(Task_2!B$5, Dataset!G$1:W$1,0))</f>
        <v>26.8</v>
      </c>
      <c r="C15" s="12">
        <f>INDEX(Dataset!G$2:W$40, MATCH(Task_2!A15, Dataset!A$2:A$40, 0), MATCH(Task_2!C$5, Dataset!G$1:W$1,0))</f>
        <v>79.599999999999994</v>
      </c>
      <c r="D15" s="12">
        <f>INDEX(Dataset!G$2:W$40, MATCH(Task_2!A15, Dataset!A$2:A$40, 0), MATCH(Task_2!D$5, Dataset!G$1:W$1,0))</f>
        <v>47.9</v>
      </c>
      <c r="E15" s="12">
        <f>INDEX(Dataset!G2:W40, MATCH(Task_2!A15, Dataset!A2:A40, 0), MATCH(Task_2!E5, Dataset!G1:W1,0))</f>
        <v>96.8</v>
      </c>
      <c r="F15" s="8">
        <f>INDEX(Dataset!G$2:W$40, MATCH(Task_2!A15, Dataset!A$2:A$40, 0), MATCH(Task_2!F$5, Dataset!G$1:W$1,0))</f>
        <v>47.9</v>
      </c>
    </row>
    <row r="16" spans="1:7" ht="15" x14ac:dyDescent="0.25">
      <c r="A16" s="7" t="s">
        <v>20</v>
      </c>
      <c r="B16" s="12">
        <f>INDEX(Dataset!G$2:W$40, MATCH(Task_2!A16, Dataset!A$2:A$40, 0), MATCH(Task_2!B$5, Dataset!G$1:W$1,0))</f>
        <v>28.5</v>
      </c>
      <c r="C16" s="12">
        <f>INDEX(Dataset!G$2:W$40, MATCH(Task_2!A16, Dataset!A$2:A$40, 0), MATCH(Task_2!C$5, Dataset!G$1:W$1,0))</f>
        <v>85.4</v>
      </c>
      <c r="D16" s="12">
        <f>INDEX(Dataset!G$2:W$40, MATCH(Task_2!A16, Dataset!A$2:A$40, 0), MATCH(Task_2!D$5, Dataset!G$1:W$1,0))</f>
        <v>52.3</v>
      </c>
      <c r="E16" s="12">
        <f>INDEX(Dataset!G2:W40, MATCH(Task_2!A16, Dataset!A2:A40, 0), MATCH(Task_2!E5, Dataset!G1:W1,0))</f>
        <v>106.1</v>
      </c>
      <c r="F16" s="8">
        <f>INDEX(Dataset!G$2:W$40, MATCH(Task_2!A16, Dataset!A$2:A$40, 0), MATCH(Task_2!F$5, Dataset!G$1:W$1,0))</f>
        <v>52.3</v>
      </c>
    </row>
    <row r="17" spans="1:6" ht="15" x14ac:dyDescent="0.25">
      <c r="A17" s="7" t="s">
        <v>22</v>
      </c>
      <c r="B17" s="12">
        <f>INDEX(Dataset!G$2:W$40, MATCH(Task_2!A17, Dataset!A$2:A$40, 0), MATCH(Task_2!B$5, Dataset!G$1:W$1,0))</f>
        <v>30.7</v>
      </c>
      <c r="C17" s="12">
        <f>INDEX(Dataset!G$2:W$40, MATCH(Task_2!A17, Dataset!A$2:A$40, 0), MATCH(Task_2!C$5, Dataset!G$1:W$1,0))</f>
        <v>92.1</v>
      </c>
      <c r="D17" s="12">
        <f>INDEX(Dataset!G$2:W$40, MATCH(Task_2!A17, Dataset!A$2:A$40, 0), MATCH(Task_2!D$5, Dataset!G$1:W$1,0))</f>
        <v>57</v>
      </c>
      <c r="E17" s="12">
        <f>INDEX(Dataset!G2:W40, MATCH(Task_2!A17, Dataset!A2:A40, 0), MATCH(Task_2!E5, Dataset!G1:W1,0))</f>
        <v>115.1</v>
      </c>
      <c r="F17" s="8">
        <f>INDEX(Dataset!G$2:W$40, MATCH(Task_2!A17, Dataset!A$2:A$40, 0), MATCH(Task_2!F$5, Dataset!G$1:W$1,0))</f>
        <v>57</v>
      </c>
    </row>
    <row r="18" spans="1:6" ht="15" x14ac:dyDescent="0.25">
      <c r="A18" s="7" t="s">
        <v>23</v>
      </c>
      <c r="B18" s="12">
        <f>INDEX(Dataset!G$2:W$40, MATCH(Task_2!A18, Dataset!A$2:A$40, 0), MATCH(Task_2!B$5, Dataset!G$1:W$1,0))</f>
        <v>33.799999999999997</v>
      </c>
      <c r="C18" s="12">
        <f>INDEX(Dataset!G$2:W$40, MATCH(Task_2!A18, Dataset!A$2:A$40, 0), MATCH(Task_2!C$5, Dataset!G$1:W$1,0))</f>
        <v>101.3</v>
      </c>
      <c r="D18" s="12">
        <f>INDEX(Dataset!G$2:W$40, MATCH(Task_2!A18, Dataset!A$2:A$40, 0), MATCH(Task_2!D$5, Dataset!G$1:W$1,0))</f>
        <v>61.4</v>
      </c>
      <c r="E18" s="12">
        <f>INDEX(Dataset!G2:W40, MATCH(Task_2!A18, Dataset!A2:A40, 0), MATCH(Task_2!E5, Dataset!G1:W1,0))</f>
        <v>124.4</v>
      </c>
      <c r="F18" s="8">
        <f>INDEX(Dataset!G$2:W$40, MATCH(Task_2!A18, Dataset!A$2:A$40, 0), MATCH(Task_2!F$5, Dataset!G$1:W$1,0))</f>
        <v>61.4</v>
      </c>
    </row>
    <row r="19" spans="1:6" ht="15" x14ac:dyDescent="0.25">
      <c r="A19" s="7" t="s">
        <v>24</v>
      </c>
      <c r="B19" s="12">
        <f>INDEX(Dataset!G$2:W$40, MATCH(Task_2!A19, Dataset!A$2:A$40, 0), MATCH(Task_2!B$5, Dataset!G$1:W$1,0))</f>
        <v>34.700000000000003</v>
      </c>
      <c r="C19" s="12">
        <f>INDEX(Dataset!G$2:W$40, MATCH(Task_2!A19, Dataset!A$2:A$40, 0), MATCH(Task_2!C$5, Dataset!G$1:W$1,0))</f>
        <v>106.1</v>
      </c>
      <c r="D19" s="12">
        <f>INDEX(Dataset!G$2:W$40, MATCH(Task_2!A19, Dataset!A$2:A$40, 0), MATCH(Task_2!D$5, Dataset!G$1:W$1,0))</f>
        <v>63.6</v>
      </c>
      <c r="E19" s="12">
        <f>INDEX(Dataset!G2:W40, MATCH(Task_2!A19, Dataset!A2:A40, 0), MATCH(Task_2!E5, Dataset!G1:W1,0))</f>
        <v>128.6</v>
      </c>
      <c r="F19" s="8">
        <f>INDEX(Dataset!G$2:W$40, MATCH(Task_2!A19, Dataset!A$2:A$40, 0), MATCH(Task_2!F$5, Dataset!G$1:W$1,0))</f>
        <v>63.6</v>
      </c>
    </row>
    <row r="20" spans="1:6" ht="15" x14ac:dyDescent="0.25">
      <c r="A20" s="7" t="s">
        <v>28</v>
      </c>
      <c r="B20" s="12">
        <f>INDEX(Dataset!G$2:W$40, MATCH(Task_2!A20, Dataset!A$2:A$40, 0), MATCH(Task_2!B$5, Dataset!G$1:W$1,0))</f>
        <v>0</v>
      </c>
      <c r="C20" s="12">
        <f>INDEX(Dataset!G$2:W$40, MATCH(Task_2!A20, Dataset!A$2:A$40, 0), MATCH(Task_2!C$5, Dataset!G$1:W$1,0))</f>
        <v>0</v>
      </c>
      <c r="D20" s="12">
        <f>INDEX(Dataset!G$2:W$40, MATCH(Task_2!A20, Dataset!A$2:A$40, 0), MATCH(Task_2!D$5, Dataset!G$1:W$1,0))</f>
        <v>0</v>
      </c>
      <c r="E20" s="12">
        <f>INDEX(Dataset!G2:W40, MATCH(Task_2!A20, Dataset!A2:A40, 0), MATCH(Task_2!E5, Dataset!G1:W1,0))</f>
        <v>0</v>
      </c>
      <c r="F20" s="8">
        <f>INDEX(Dataset!G$2:W$40, MATCH(Task_2!A20, Dataset!A$2:A$40, 0), MATCH(Task_2!F$5, Dataset!G$1:W$1,0))</f>
        <v>0</v>
      </c>
    </row>
    <row r="21" spans="1:6" ht="15" x14ac:dyDescent="0.25">
      <c r="A21" s="7" t="s">
        <v>55</v>
      </c>
      <c r="B21" s="12">
        <f>INDEX(Dataset!G$2:W$40, MATCH(Task_2!A21, Dataset!A$2:A$40, 0), MATCH(Task_2!B$5, Dataset!G$1:W$1,0))</f>
        <v>41.3</v>
      </c>
      <c r="C21" s="12">
        <f>INDEX(Dataset!G$2:W$40, MATCH(Task_2!A21, Dataset!A$2:A$40, 0), MATCH(Task_2!C$5, Dataset!G$1:W$1,0))</f>
        <v>124.4</v>
      </c>
      <c r="D21" s="12">
        <f>INDEX(Dataset!G$2:W$40, MATCH(Task_2!A21, Dataset!A$2:A$40, 0), MATCH(Task_2!D$5, Dataset!G$1:W$1,0))</f>
        <v>75</v>
      </c>
      <c r="E21" s="12">
        <f>INDEX(Dataset!G2:W40, MATCH(Task_2!A21, Dataset!A2:A40, 0), MATCH(Task_2!E5, Dataset!G1:W1,0))</f>
        <v>151.5</v>
      </c>
      <c r="F21" s="8">
        <f>INDEX(Dataset!G$2:W$40, MATCH(Task_2!A21, Dataset!A$2:A$40, 0), MATCH(Task_2!F$5, Dataset!G$1:W$1,0))</f>
        <v>75</v>
      </c>
    </row>
    <row r="22" spans="1:6" ht="15" x14ac:dyDescent="0.25">
      <c r="A22" s="7" t="s">
        <v>56</v>
      </c>
      <c r="B22" s="12">
        <f>INDEX(Dataset!G$2:W$40, MATCH(Task_2!A22, Dataset!A$2:A$40, 0), MATCH(Task_2!B$5, Dataset!G$1:W$1,0))</f>
        <v>-1</v>
      </c>
      <c r="C22" s="12">
        <f>INDEX(Dataset!G$2:W$40, MATCH(Task_2!A22, Dataset!A$2:A$40, 0), MATCH(Task_2!C$5, Dataset!G$1:W$1,0))</f>
        <v>-1</v>
      </c>
      <c r="D22" s="12">
        <f>INDEX(Dataset!G$2:W$40, MATCH(Task_2!A22, Dataset!A$2:A$40, 0), MATCH(Task_2!D$5, Dataset!G$1:W$1,0))</f>
        <v>-1</v>
      </c>
      <c r="E22" s="12">
        <f>INDEX(Dataset!G2:W40, MATCH(Task_2!A22, Dataset!A2:A40, 0), MATCH(Task_2!E5, Dataset!G1:W1,0))</f>
        <v>-1</v>
      </c>
      <c r="F22" s="8">
        <f>INDEX(Dataset!G$2:W$40, MATCH(Task_2!A22, Dataset!A$2:A$40, 0), MATCH(Task_2!F$5, Dataset!G$1:W$1,0))</f>
        <v>-1</v>
      </c>
    </row>
    <row r="23" spans="1:6" ht="15" x14ac:dyDescent="0.25">
      <c r="A23" s="7" t="s">
        <v>31</v>
      </c>
      <c r="B23" s="12">
        <f>INDEX(Dataset!G$2:W$40, MATCH(Task_2!A23, Dataset!A$2:A$40, 0), MATCH(Task_2!B$5, Dataset!G$1:W$1,0))</f>
        <v>45</v>
      </c>
      <c r="C23" s="12">
        <f>INDEX(Dataset!G$2:W$40, MATCH(Task_2!A23, Dataset!A$2:A$40, 0), MATCH(Task_2!C$5, Dataset!G$1:W$1,0))</f>
        <v>133.4</v>
      </c>
      <c r="D23" s="12">
        <f>INDEX(Dataset!G$2:W$40, MATCH(Task_2!A23, Dataset!A$2:A$40, 0), MATCH(Task_2!D$5, Dataset!G$1:W$1,0))</f>
        <v>79.400000000000006</v>
      </c>
      <c r="E23" s="12">
        <f>INDEX(Dataset!G2:W40, MATCH(Task_2!A23, Dataset!A2:A40, 0), MATCH(Task_2!E5, Dataset!G1:W1,0))</f>
        <v>160.9</v>
      </c>
      <c r="F23" s="8">
        <f>INDEX(Dataset!G$2:W$40, MATCH(Task_2!A23, Dataset!A$2:A$40, 0), MATCH(Task_2!F$5, Dataset!G$1:W$1,0))</f>
        <v>79.400000000000006</v>
      </c>
    </row>
    <row r="24" spans="1:6" ht="15" x14ac:dyDescent="0.25">
      <c r="A24" s="7" t="s">
        <v>32</v>
      </c>
      <c r="B24" s="12">
        <f>INDEX(Dataset!G$2:W$40, MATCH(Task_2!A24, Dataset!A$2:A$40, 0), MATCH(Task_2!B$5, Dataset!G$1:W$1,0))</f>
        <v>-1</v>
      </c>
      <c r="C24" s="12">
        <f>INDEX(Dataset!G$2:W$40, MATCH(Task_2!A24, Dataset!A$2:A$40, 0), MATCH(Task_2!C$5, Dataset!G$1:W$1,0))</f>
        <v>-1</v>
      </c>
      <c r="D24" s="12">
        <f>INDEX(Dataset!G$2:W$40, MATCH(Task_2!A24, Dataset!A$2:A$40, 0), MATCH(Task_2!D$5, Dataset!G$1:W$1,0))</f>
        <v>-1</v>
      </c>
      <c r="E24" s="12">
        <f>INDEX(Dataset!G2:W40, MATCH(Task_2!A24, Dataset!A2:A40, 0), MATCH(Task_2!E5, Dataset!G1:W1,0))</f>
        <v>-1</v>
      </c>
      <c r="F24" s="8">
        <f>INDEX(Dataset!G$2:W$40, MATCH(Task_2!A24, Dataset!A$2:A$40, 0), MATCH(Task_2!F$5, Dataset!G$1:W$1,0))</f>
        <v>-1</v>
      </c>
    </row>
    <row r="25" spans="1:6" ht="15" x14ac:dyDescent="0.25">
      <c r="A25" s="7" t="s">
        <v>34</v>
      </c>
      <c r="B25" s="12">
        <f>INDEX(Dataset!G$2:W$40, MATCH(Task_2!A25, Dataset!A$2:A$40, 0), MATCH(Task_2!B$5, Dataset!G$1:W$1,0))</f>
        <v>43.3</v>
      </c>
      <c r="C25" s="12">
        <f>INDEX(Dataset!G$2:W$40, MATCH(Task_2!A25, Dataset!A$2:A$40, 0), MATCH(Task_2!C$5, Dataset!G$1:W$1,0))</f>
        <v>128.6</v>
      </c>
      <c r="D25" s="12">
        <f>INDEX(Dataset!G$2:W$40, MATCH(Task_2!A25, Dataset!A$2:A$40, 0), MATCH(Task_2!D$5, Dataset!G$1:W$1,0))</f>
        <v>79.400000000000006</v>
      </c>
      <c r="E25" s="12">
        <f>INDEX(Dataset!G2:W40, MATCH(Task_2!A25, Dataset!A2:A40, 0), MATCH(Task_2!E5, Dataset!G1:W1,0))</f>
        <v>160.9</v>
      </c>
      <c r="F25" s="8">
        <f>INDEX(Dataset!G$2:W$40, MATCH(Task_2!A25, Dataset!A$2:A$40, 0), MATCH(Task_2!F$5, Dataset!G$1:W$1,0))</f>
        <v>79.400000000000006</v>
      </c>
    </row>
    <row r="26" spans="1:6" ht="15" x14ac:dyDescent="0.25">
      <c r="A26" s="7" t="s">
        <v>37</v>
      </c>
      <c r="B26" s="12">
        <f>INDEX(Dataset!G$2:W$40, MATCH(Task_2!A26, Dataset!A$2:A$40, 0), MATCH(Task_2!B$5, Dataset!G$1:W$1,0))</f>
        <v>49.1</v>
      </c>
      <c r="C26" s="12">
        <f>INDEX(Dataset!G$2:W$40, MATCH(Task_2!A26, Dataset!A$2:A$40, 0), MATCH(Task_2!C$5, Dataset!G$1:W$1,0))</f>
        <v>146.80000000000001</v>
      </c>
      <c r="D26" s="12">
        <f>INDEX(Dataset!G$2:W$40, MATCH(Task_2!A26, Dataset!A$2:A$40, 0), MATCH(Task_2!D$5, Dataset!G$1:W$1,0))</f>
        <v>90.9</v>
      </c>
      <c r="E26" s="12">
        <f>INDEX(Dataset!G2:W40, MATCH(Task_2!A26, Dataset!A2:A40, 0), MATCH(Task_2!E5, Dataset!G1:W1,0))</f>
        <v>183.5</v>
      </c>
      <c r="F26" s="8">
        <f>INDEX(Dataset!G$2:W$40, MATCH(Task_2!A26, Dataset!A$2:A$40, 0), MATCH(Task_2!F$5, Dataset!G$1:W$1,0))</f>
        <v>90.9</v>
      </c>
    </row>
    <row r="27" spans="1:6" ht="15" x14ac:dyDescent="0.25">
      <c r="A27" s="7" t="s">
        <v>39</v>
      </c>
      <c r="B27" s="12">
        <f>INDEX(Dataset!G$2:W$40, MATCH(Task_2!A27, Dataset!A$2:A$40, 0), MATCH(Task_2!B$5, Dataset!G$1:W$1,0))</f>
        <v>51.8</v>
      </c>
      <c r="C27" s="12">
        <f>INDEX(Dataset!G$2:W$40, MATCH(Task_2!A27, Dataset!A$2:A$40, 0), MATCH(Task_2!C$5, Dataset!G$1:W$1,0))</f>
        <v>156.4</v>
      </c>
      <c r="D27" s="12">
        <f>INDEX(Dataset!G$2:W$40, MATCH(Task_2!A27, Dataset!A$2:A$40, 0), MATCH(Task_2!D$5, Dataset!G$1:W$1,0))</f>
        <v>93.1</v>
      </c>
      <c r="E27" s="12">
        <f>INDEX(Dataset!G2:W40, MATCH(Task_2!A27, Dataset!A2:A40, 0), MATCH(Task_2!E5, Dataset!G1:W1,0))</f>
        <v>188.1</v>
      </c>
      <c r="F27" s="8">
        <f>INDEX(Dataset!G$2:W$40, MATCH(Task_2!A27, Dataset!A$2:A$40, 0), MATCH(Task_2!F$5, Dataset!G$1:W$1,0))</f>
        <v>93.1</v>
      </c>
    </row>
    <row r="28" spans="1:6" ht="15" x14ac:dyDescent="0.25">
      <c r="A28" s="19" t="s">
        <v>80</v>
      </c>
      <c r="B28" s="32">
        <f>MIN(B6:B27)</f>
        <v>-1</v>
      </c>
      <c r="C28" s="32">
        <f t="shared" ref="C28:F28" si="0">MIN(C6:C27)</f>
        <v>-1</v>
      </c>
      <c r="D28" s="32">
        <f t="shared" si="0"/>
        <v>-1</v>
      </c>
      <c r="E28" s="32">
        <f t="shared" si="0"/>
        <v>-1</v>
      </c>
      <c r="F28" s="32">
        <f t="shared" si="0"/>
        <v>-1</v>
      </c>
    </row>
    <row r="29" spans="1:6" ht="15" x14ac:dyDescent="0.25">
      <c r="A29" s="19" t="s">
        <v>81</v>
      </c>
      <c r="B29" s="32">
        <f>MAX(B6:B27)</f>
        <v>51.8</v>
      </c>
      <c r="C29" s="32">
        <f t="shared" ref="C29:F29" si="1">MAX(C6:C27)</f>
        <v>156.4</v>
      </c>
      <c r="D29" s="32">
        <f t="shared" si="1"/>
        <v>93.1</v>
      </c>
      <c r="E29" s="32">
        <f t="shared" si="1"/>
        <v>188.1</v>
      </c>
      <c r="F29" s="32">
        <f t="shared" si="1"/>
        <v>93.1</v>
      </c>
    </row>
    <row r="30" spans="1:6" ht="15" x14ac:dyDescent="0.25">
      <c r="A30" s="19" t="s">
        <v>82</v>
      </c>
      <c r="B30" s="32">
        <f>AVERAGE(B6:B27)</f>
        <v>20.827272727272728</v>
      </c>
      <c r="C30" s="32">
        <f t="shared" ref="C30:F30" si="2">AVERAGE(C6:C27)</f>
        <v>62.377272727272725</v>
      </c>
      <c r="D30" s="32">
        <f t="shared" si="2"/>
        <v>37.800000000000004</v>
      </c>
      <c r="E30" s="32">
        <f t="shared" si="2"/>
        <v>76.418181818181822</v>
      </c>
      <c r="F30" s="32">
        <f t="shared" si="2"/>
        <v>37.800000000000004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4"/>
  <sheetViews>
    <sheetView zoomScaleNormal="100" workbookViewId="0">
      <selection activeCell="A7" sqref="A7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6" s="42" customFormat="1" ht="21" x14ac:dyDescent="0.35">
      <c r="A1" s="43" t="s">
        <v>54</v>
      </c>
      <c r="B1" s="42" t="s">
        <v>171</v>
      </c>
    </row>
    <row r="2" spans="1:6" customFormat="1" ht="12.75" x14ac:dyDescent="0.2"/>
    <row r="3" spans="1:6" s="2" customFormat="1" x14ac:dyDescent="0.25">
      <c r="B3" s="1"/>
    </row>
    <row r="4" spans="1:6" s="2" customFormat="1" x14ac:dyDescent="0.25">
      <c r="B4" s="1" t="s">
        <v>149</v>
      </c>
    </row>
    <row r="5" spans="1:6" ht="18.75" x14ac:dyDescent="0.3">
      <c r="A5" s="44" t="s">
        <v>179</v>
      </c>
      <c r="B5" s="41"/>
    </row>
    <row r="6" spans="1:6" ht="18.75" x14ac:dyDescent="0.3">
      <c r="A6" s="44" t="s">
        <v>180</v>
      </c>
      <c r="B6" s="41"/>
    </row>
    <row r="7" spans="1:6" ht="18.75" x14ac:dyDescent="0.3">
      <c r="A7" s="44"/>
      <c r="B7" s="41"/>
    </row>
    <row r="9" spans="1:6" ht="23.25" x14ac:dyDescent="0.35">
      <c r="A9" s="18" t="s">
        <v>162</v>
      </c>
    </row>
    <row r="10" spans="1:6" x14ac:dyDescent="0.25">
      <c r="A10" s="34" t="s">
        <v>100</v>
      </c>
      <c r="B10" s="17" t="s">
        <v>48</v>
      </c>
      <c r="C10" s="17" t="s">
        <v>49</v>
      </c>
      <c r="D10" s="17" t="s">
        <v>50</v>
      </c>
      <c r="E10" s="17" t="s">
        <v>51</v>
      </c>
      <c r="F10" s="17" t="s">
        <v>52</v>
      </c>
    </row>
    <row r="11" spans="1:6" x14ac:dyDescent="0.25">
      <c r="A11" s="9" t="s">
        <v>119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</row>
    <row r="14" spans="1:6" ht="23.25" x14ac:dyDescent="0.35">
      <c r="A14" s="18" t="s">
        <v>159</v>
      </c>
    </row>
    <row r="15" spans="1:6" x14ac:dyDescent="0.25">
      <c r="A15" s="14" t="s">
        <v>101</v>
      </c>
      <c r="B15" s="17" t="s">
        <v>48</v>
      </c>
      <c r="C15" s="15" t="s">
        <v>49</v>
      </c>
      <c r="D15" s="17" t="s">
        <v>50</v>
      </c>
      <c r="E15" s="15" t="s">
        <v>51</v>
      </c>
      <c r="F15" s="17" t="s">
        <v>52</v>
      </c>
    </row>
    <row r="16" spans="1:6" x14ac:dyDescent="0.25">
      <c r="A16" s="7" t="s">
        <v>119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120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121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122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123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124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125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126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127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128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129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130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131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132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133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134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135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136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137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138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139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140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141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142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143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144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145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146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147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148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110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111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112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113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114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115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116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117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118</v>
      </c>
      <c r="B54" s="12">
        <v>21016</v>
      </c>
      <c r="C54" s="1" t="s">
        <v>5</v>
      </c>
      <c r="D54" s="12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opLeftCell="A3" zoomScaleNormal="100" workbookViewId="0">
      <selection activeCell="A8" sqref="A8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3" t="s">
        <v>83</v>
      </c>
      <c r="B1" s="42" t="s">
        <v>164</v>
      </c>
    </row>
    <row r="2" spans="1:3" ht="18.75" x14ac:dyDescent="0.3">
      <c r="B2" s="41" t="s">
        <v>163</v>
      </c>
    </row>
    <row r="5" spans="1:3" ht="15" x14ac:dyDescent="0.25">
      <c r="B5" s="1" t="s">
        <v>149</v>
      </c>
    </row>
    <row r="6" spans="1:3" ht="15" x14ac:dyDescent="0.25">
      <c r="A6" s="3" t="s">
        <v>177</v>
      </c>
      <c r="B6" s="1"/>
    </row>
    <row r="7" spans="1:3" ht="15" x14ac:dyDescent="0.25">
      <c r="A7" s="3" t="s">
        <v>178</v>
      </c>
      <c r="B7" s="1"/>
    </row>
    <row r="10" spans="1:3" ht="23.25" x14ac:dyDescent="0.35">
      <c r="A10" s="18" t="s">
        <v>159</v>
      </c>
    </row>
    <row r="11" spans="1:3" ht="15" x14ac:dyDescent="0.25">
      <c r="A11" s="33" t="s">
        <v>84</v>
      </c>
      <c r="B11" s="17" t="s">
        <v>85</v>
      </c>
      <c r="C11" s="17" t="s">
        <v>86</v>
      </c>
    </row>
    <row r="12" spans="1:3" ht="15" x14ac:dyDescent="0.25">
      <c r="A12" s="33">
        <v>44927</v>
      </c>
      <c r="B12" s="17" t="s">
        <v>57</v>
      </c>
      <c r="C12" s="17">
        <v>200</v>
      </c>
    </row>
    <row r="13" spans="1:3" ht="15" x14ac:dyDescent="0.25">
      <c r="A13" s="33">
        <v>44928</v>
      </c>
      <c r="B13" s="17" t="s">
        <v>58</v>
      </c>
      <c r="C13" s="17" t="e">
        <v>#N/A</v>
      </c>
    </row>
    <row r="14" spans="1:3" ht="15" x14ac:dyDescent="0.25">
      <c r="A14" s="33">
        <v>44929</v>
      </c>
      <c r="B14" s="17" t="s">
        <v>59</v>
      </c>
      <c r="C14" s="17">
        <v>50</v>
      </c>
    </row>
    <row r="15" spans="1:3" ht="15" x14ac:dyDescent="0.25">
      <c r="A15" s="33">
        <v>44930</v>
      </c>
      <c r="B15" s="17" t="s">
        <v>60</v>
      </c>
      <c r="C15" s="17" t="e">
        <v>#N/A</v>
      </c>
    </row>
    <row r="16" spans="1:3" ht="15" x14ac:dyDescent="0.25">
      <c r="A16" s="33">
        <v>44931</v>
      </c>
      <c r="B16" s="17" t="s">
        <v>61</v>
      </c>
      <c r="C16" s="17">
        <v>10</v>
      </c>
    </row>
    <row r="17" spans="1:3" ht="15" x14ac:dyDescent="0.25">
      <c r="A17" s="33">
        <v>44932</v>
      </c>
      <c r="B17" s="17" t="s">
        <v>151</v>
      </c>
      <c r="C17" s="17">
        <v>150</v>
      </c>
    </row>
    <row r="18" spans="1:3" ht="15" x14ac:dyDescent="0.25">
      <c r="A18" s="33">
        <v>44933</v>
      </c>
      <c r="B18" s="17" t="s">
        <v>152</v>
      </c>
      <c r="C18" s="17">
        <v>80</v>
      </c>
    </row>
    <row r="19" spans="1:3" ht="15" x14ac:dyDescent="0.25">
      <c r="A19" s="33">
        <v>44934</v>
      </c>
      <c r="B19" s="17" t="s">
        <v>153</v>
      </c>
      <c r="C19" s="17" t="e">
        <v>#N/A</v>
      </c>
    </row>
    <row r="20" spans="1:3" ht="15" x14ac:dyDescent="0.25">
      <c r="A20" s="33">
        <v>44935</v>
      </c>
      <c r="B20" s="17" t="s">
        <v>154</v>
      </c>
      <c r="C20" s="17">
        <v>30</v>
      </c>
    </row>
    <row r="21" spans="1:3" ht="15" x14ac:dyDescent="0.25">
      <c r="A21" s="33">
        <v>44936</v>
      </c>
      <c r="B21" s="17" t="s">
        <v>155</v>
      </c>
      <c r="C21" s="17" t="e">
        <v>#N/A</v>
      </c>
    </row>
    <row r="22" spans="1:3" ht="15" x14ac:dyDescent="0.25">
      <c r="B22" s="17" t="s">
        <v>156</v>
      </c>
      <c r="C22" s="25">
        <f t="array" ref="C22">SUM(IF(ISNUMBER(C12:C21), 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16" zoomScaleNormal="100" workbookViewId="0">
      <selection activeCell="K10" sqref="K10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3" t="s">
        <v>96</v>
      </c>
      <c r="B1" s="42" t="s">
        <v>172</v>
      </c>
    </row>
    <row r="3" spans="1:14" ht="15" x14ac:dyDescent="0.25">
      <c r="B3" s="1" t="s">
        <v>149</v>
      </c>
    </row>
    <row r="4" spans="1:14" ht="18.75" x14ac:dyDescent="0.3">
      <c r="A4" s="44" t="s">
        <v>175</v>
      </c>
      <c r="B4" s="1"/>
    </row>
    <row r="5" spans="1:14" ht="18.75" x14ac:dyDescent="0.3">
      <c r="A5" s="44" t="s">
        <v>176</v>
      </c>
      <c r="B5" s="1"/>
    </row>
    <row r="6" spans="1:14" ht="15" x14ac:dyDescent="0.25">
      <c r="A6" s="3"/>
      <c r="B6" s="1"/>
    </row>
    <row r="8" spans="1:14" ht="23.25" x14ac:dyDescent="0.35">
      <c r="A8" s="18" t="s">
        <v>159</v>
      </c>
      <c r="M8" s="18" t="s">
        <v>160</v>
      </c>
    </row>
    <row r="9" spans="1:14" ht="15" x14ac:dyDescent="0.25">
      <c r="A9" s="26"/>
      <c r="B9" s="26" t="s">
        <v>87</v>
      </c>
      <c r="C9" s="26" t="s">
        <v>88</v>
      </c>
      <c r="D9" s="26" t="s">
        <v>89</v>
      </c>
      <c r="E9" s="26" t="s">
        <v>90</v>
      </c>
      <c r="F9" s="26" t="s">
        <v>91</v>
      </c>
      <c r="G9" s="26" t="s">
        <v>92</v>
      </c>
      <c r="H9" s="26" t="s">
        <v>93</v>
      </c>
      <c r="I9" s="26" t="s">
        <v>94</v>
      </c>
      <c r="J9" s="26" t="s">
        <v>95</v>
      </c>
      <c r="M9" s="19" t="s">
        <v>43</v>
      </c>
      <c r="N9" s="19" t="s">
        <v>97</v>
      </c>
    </row>
    <row r="10" spans="1:14" ht="15" x14ac:dyDescent="0.25">
      <c r="A10" s="26" t="s">
        <v>87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87</v>
      </c>
    </row>
    <row r="11" spans="1:14" ht="15" x14ac:dyDescent="0.25">
      <c r="A11" s="26" t="s">
        <v>88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88</v>
      </c>
    </row>
    <row r="12" spans="1:14" ht="15" x14ac:dyDescent="0.25">
      <c r="A12" s="26" t="s">
        <v>89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89</v>
      </c>
    </row>
    <row r="13" spans="1:14" ht="15" x14ac:dyDescent="0.25">
      <c r="A13" s="26" t="s">
        <v>90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90</v>
      </c>
    </row>
    <row r="14" spans="1:14" ht="15" x14ac:dyDescent="0.25">
      <c r="A14" s="26" t="s">
        <v>91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91</v>
      </c>
    </row>
    <row r="15" spans="1:14" ht="15" x14ac:dyDescent="0.25">
      <c r="A15" s="26" t="s">
        <v>92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92</v>
      </c>
    </row>
    <row r="16" spans="1:14" ht="15" x14ac:dyDescent="0.25">
      <c r="A16" s="26" t="s">
        <v>93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93</v>
      </c>
    </row>
    <row r="17" spans="1:14" ht="15" x14ac:dyDescent="0.25">
      <c r="A17" s="26" t="s">
        <v>94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94</v>
      </c>
    </row>
    <row r="18" spans="1:14" ht="15" x14ac:dyDescent="0.25">
      <c r="A18" s="26" t="s">
        <v>95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95</v>
      </c>
    </row>
    <row r="21" spans="1:14" ht="23.25" x14ac:dyDescent="0.35">
      <c r="A21" s="18" t="s">
        <v>165</v>
      </c>
    </row>
    <row r="22" spans="1:14" ht="15" x14ac:dyDescent="0.25">
      <c r="A22" s="14" t="s">
        <v>98</v>
      </c>
      <c r="B22" s="17" t="s">
        <v>99</v>
      </c>
      <c r="C22" s="16" t="s">
        <v>100</v>
      </c>
    </row>
    <row r="23" spans="1:14" ht="15" x14ac:dyDescent="0.25">
      <c r="A23" s="7">
        <v>10100</v>
      </c>
      <c r="B23" s="12">
        <v>10102</v>
      </c>
      <c r="C23" s="45">
        <f>INDEX(B$10:J$18, MATCH(INDEX(N$10:N$18, MATCH(A23, M$10:M$18, 0), 1), A$10:A$18, 0), MATCH(INDEX(N$10:N$18, MATCH(B23, M$10:M$18, 0), 1), B$9:J$9, 0))</f>
        <v>95</v>
      </c>
    </row>
    <row r="24" spans="1:14" ht="15" x14ac:dyDescent="0.25">
      <c r="A24" s="7">
        <v>10100</v>
      </c>
      <c r="B24" s="12">
        <v>10104</v>
      </c>
      <c r="C24" s="45">
        <f t="shared" ref="C24:C35" si="0">INDEX(B$10:J$18, MATCH(INDEX(N$10:N$18, MATCH(A24, M$10:M$18, 0), 1), A$10:A$18, 0), MATCH(INDEX(N$10:N$18, MATCH(B24, M$10:M$18, 0), 1), B$9:J$9, 0))</f>
        <v>-1</v>
      </c>
    </row>
    <row r="25" spans="1:14" ht="15" x14ac:dyDescent="0.25">
      <c r="A25" s="7">
        <v>10108</v>
      </c>
      <c r="B25" s="12">
        <v>10102</v>
      </c>
      <c r="C25" s="45">
        <f>INDEX(B$10:J$18, MATCH(INDEX(N$10:N$18, MATCH(A25, M$10:M$18, 0), 1), A$10:A$18, 0), MATCH(INDEX(N$10:N$18, MATCH(B25, M$10:M$18, 0), 1), B$9:J$9, 0))</f>
        <v>160</v>
      </c>
    </row>
    <row r="26" spans="1:14" ht="15" x14ac:dyDescent="0.25">
      <c r="A26" s="7">
        <v>10100</v>
      </c>
      <c r="B26" s="12">
        <v>10106</v>
      </c>
      <c r="C26" s="45">
        <f t="shared" si="0"/>
        <v>185</v>
      </c>
    </row>
    <row r="27" spans="1:14" ht="15" x14ac:dyDescent="0.25">
      <c r="A27" s="7">
        <v>10108</v>
      </c>
      <c r="B27" s="12">
        <v>10110</v>
      </c>
      <c r="C27" s="45">
        <f t="shared" si="0"/>
        <v>50</v>
      </c>
    </row>
    <row r="28" spans="1:14" ht="15" x14ac:dyDescent="0.25">
      <c r="A28" s="7">
        <v>10102</v>
      </c>
      <c r="B28" s="12">
        <v>10104</v>
      </c>
      <c r="C28" s="45">
        <f t="shared" si="0"/>
        <v>-1</v>
      </c>
    </row>
    <row r="29" spans="1:14" ht="15" x14ac:dyDescent="0.25">
      <c r="A29" s="7">
        <v>10106</v>
      </c>
      <c r="B29" s="12">
        <v>10108</v>
      </c>
      <c r="C29" s="45">
        <f t="shared" si="0"/>
        <v>70</v>
      </c>
    </row>
    <row r="30" spans="1:14" ht="15" x14ac:dyDescent="0.25">
      <c r="A30" s="7">
        <v>10102</v>
      </c>
      <c r="B30" s="12">
        <v>10106</v>
      </c>
      <c r="C30" s="45">
        <f t="shared" si="0"/>
        <v>90</v>
      </c>
    </row>
    <row r="31" spans="1:14" ht="15" x14ac:dyDescent="0.25">
      <c r="A31" s="7">
        <v>10110</v>
      </c>
      <c r="B31" s="12">
        <v>10114</v>
      </c>
      <c r="C31" s="45">
        <f t="shared" si="0"/>
        <v>180</v>
      </c>
    </row>
    <row r="32" spans="1:14" ht="15" x14ac:dyDescent="0.25">
      <c r="A32" s="7">
        <v>10104</v>
      </c>
      <c r="B32" s="12">
        <v>10106</v>
      </c>
      <c r="C32" s="45">
        <f t="shared" si="0"/>
        <v>60</v>
      </c>
    </row>
    <row r="33" spans="1:3" ht="15" x14ac:dyDescent="0.25">
      <c r="A33" s="7">
        <v>10110</v>
      </c>
      <c r="B33" s="12">
        <v>10112</v>
      </c>
      <c r="C33" s="45">
        <f t="shared" si="0"/>
        <v>115</v>
      </c>
    </row>
    <row r="34" spans="1:3" ht="15" x14ac:dyDescent="0.25">
      <c r="A34" s="7">
        <v>10100</v>
      </c>
      <c r="B34" s="12">
        <v>10114</v>
      </c>
      <c r="C34" s="45">
        <f t="shared" si="0"/>
        <v>480</v>
      </c>
    </row>
    <row r="35" spans="1:3" ht="15" x14ac:dyDescent="0.25">
      <c r="A35" s="9">
        <v>10112</v>
      </c>
      <c r="B35" s="13">
        <v>10116</v>
      </c>
      <c r="C35" s="45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 B</cp:lastModifiedBy>
  <dcterms:created xsi:type="dcterms:W3CDTF">2015-02-10T17:33:11Z</dcterms:created>
  <dcterms:modified xsi:type="dcterms:W3CDTF">2023-12-10T14:05:23Z</dcterms:modified>
</cp:coreProperties>
</file>