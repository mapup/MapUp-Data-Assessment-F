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RI\Desktop\"/>
    </mc:Choice>
  </mc:AlternateContent>
  <xr:revisionPtr revIDLastSave="0" documentId="13_ncr:1_{7966208D-B312-4471-9C8D-DFB1940182B4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3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C5" i="15"/>
  <c r="F7" i="18"/>
  <c r="F8" i="18"/>
  <c r="F9" i="18"/>
  <c r="F30" i="18" s="1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30" i="18" s="1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28" i="18" s="1"/>
  <c r="D9" i="18"/>
  <c r="D29" i="18" s="1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30" i="18" s="1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28" i="18" s="1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E28" i="18"/>
  <c r="F28" i="18" l="1"/>
  <c r="F29" i="18"/>
  <c r="E29" i="18"/>
  <c r="D30" i="18"/>
  <c r="C28" i="18"/>
  <c r="C29" i="18"/>
  <c r="B30" i="18"/>
  <c r="B29" i="18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<sst xmlns="http://schemas.openxmlformats.org/spreadsheetml/2006/main" count="404" uniqueCount="181">
  <si>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</si>
  <si>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</si>
  <si>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</si>
  <si>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</si>
  <si>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</si>
  <si>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</si>
  <si>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</si>
  <si>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</si>
  <si>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</si>
  <si>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</si>
  <si>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</si>
  <si>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</si>
  <si>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</si>
  <si>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</si>
  <si>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</si>
  <si>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</si>
  <si>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</si>
  <si>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</si>
  <si>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</si>
  <si>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</si>
  <si>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</si>
  <si>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</si>
  <si>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</si>
  <si>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</si>
  <si>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</si>
  <si>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</si>
  <si>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</si>
  <si>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</si>
  <si>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</si>
  <si>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</si>
  <si>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</si>
  <si>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</si>
  <si>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</si>
  <si>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</si>
  <si>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</si>
  <si>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</si>
  <si>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</si>
  <si>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</si>
  <si>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</si>
  <si>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</si>
  <si>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</si>
  <si>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</si>
  <si>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</si>
  <si>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</si>
  <si>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</si>
  <si>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</si>
  <si>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</si>
  <si>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</si>
  <si>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</si>
  <si>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</si>
  <si>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</si>
  <si>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</si>
  <si>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</si>
  <si>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</si>
  <si>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</si>
  <si>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</si>
  <si>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</si>
  <si>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</si>
  <si>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</si>
  <si>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</si>
  <si>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</si>
  <si>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</si>
  <si>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</si>
  <si>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</si>
  <si>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</si>
  <si>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</si>
  <si>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</si>
  <si>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</si>
  <si>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</si>
  <si>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</si>
  <si>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</si>
  <si>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</si>
  <si>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</si>
  <si>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</si>
  <si>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</si>
  <si>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</si>
  <si>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</si>
  <si>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</si>
  <si>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</si>
  <si>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</si>
  <si>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</si>
  <si>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</si>
  <si>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</si>
  <si>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</si>
  <si>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</si>
  <si>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</si>
  <si>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</si>
  <si>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</si>
  <si>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</si>
  <si>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</si>
  <si>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</si>
  <si>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</si>
  <si>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</si>
  <si>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</si>
  <si>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</si>
  <si>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</si>
  <si>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</si>
  <si>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</si>
  <si>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</si>
  <si>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</si>
  <si>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</si>
  <si>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</si>
  <si>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</si>
  <si>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</si>
  <si>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</si>
  <si>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</si>
  <si>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</si>
  <si>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</si>
  <si>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</si>
  <si>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</si>
  <si>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</si>
  <si>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</si>
  <si>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</si>
  <si>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</si>
  <si>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</si>
  <si>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</si>
  <si>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</si>
  <si>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</si>
  <si>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</si>
  <si>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</si>
  <si>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</si>
  <si>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</si>
  <si>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</si>
  <si>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</si>
  <si>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</si>
  <si>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</si>
  <si>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</si>
  <si>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</si>
  <si>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</si>
  <si>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</si>
  <si>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</si>
  <si>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</si>
  <si>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</si>
  <si>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</si>
  <si>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</si>
  <si>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</si>
  <si>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</si>
  <si>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</si>
  <si>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</si>
  <si>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</si>
  <si>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</si>
  <si>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</si>
  <si>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</si>
  <si>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</si>
  <si>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</si>
  <si>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</si>
  <si>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</si>
  <si>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</si>
  <si>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</si>
  <si>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</si>
  <si>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</si>
  <si>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</si>
  <si>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</si>
  <si>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</si>
  <si>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</si>
  <si>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</si>
  <si>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</si>
  <si>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</si>
  <si>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</si>
  <si>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</si>
  <si>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</si>
  <si>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</si>
  <si>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</si>
  <si>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</si>
  <si>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</si>
  <si>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</si>
  <si>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</si>
  <si>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</si>
  <si>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</si>
  <si>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</si>
  <si>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</si>
  <si>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</si>
  <si>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</si>
  <si>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</si>
  <si>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</si>
  <si>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</si>
  <si>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Using Freeze Pane in View Tab,Freeze the Top rows</t>
  </si>
  <si>
    <t>Using Format Cells options changed the Date Format into ''</t>
  </si>
  <si>
    <t>All 20 values must be substituted with the value '20'</t>
  </si>
  <si>
    <t>Replaced N/A values into 20 and using Sum function formula,the sum of sales is identified.</t>
  </si>
  <si>
    <t>By Selecting all the datas in the Table_A and in Data tab select Text to Columns, in that using Delimited option the values were splitted into distinct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</si>
</sst>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activeCell="L1" sqref="L1"/>
      <selection pane="bottomLeft" activeCell="G12" sqref="G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J16" sqref="J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176</v>
      </c>
      <c r="E4" s="1">
        <v>5</v>
      </c>
    </row>
    <row r="5" spans="1:5" x14ac:dyDescent="0.3">
      <c r="A5" s="6">
        <v>3</v>
      </c>
      <c r="B5" s="2" t="s">
        <v>104</v>
      </c>
      <c r="C5" s="34">
        <f>SUMIF(H2:H40,"20",H2:H40)</f>
        <v>0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H23" sqref="H2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LOOKUP(A6,Dataset!A:A,Dataset!G:G)</f>
        <v>49.1</v>
      </c>
      <c r="C6" s="12">
        <f>LOOKUP(A6,Dataset!A:A,Dataset!N:N)</f>
        <v>146.80000000000001</v>
      </c>
      <c r="D6" s="12">
        <f>LOOKUP(A6,Dataset!A:A,Dataset!R:R)</f>
        <v>90.9</v>
      </c>
      <c r="E6" s="12">
        <f>LOOKUP(A6,Dataset!A:A,Dataset!T:T)</f>
        <v>183.5</v>
      </c>
      <c r="F6" s="8">
        <f>LOOKUP(A6,Dataset!A:A,Dataset!V:V)</f>
        <v>90.9</v>
      </c>
    </row>
    <row r="7" spans="1:7" ht="14.4" x14ac:dyDescent="0.3">
      <c r="A7" s="7" t="s">
        <v>4</v>
      </c>
      <c r="B7" s="12">
        <f>LOOKUP(A7,Dataset!A:A,Dataset!G:G)</f>
        <v>3.6</v>
      </c>
      <c r="C7" s="12">
        <f>LOOKUP(A7,Dataset!A:A,Dataset!N:N)</f>
        <v>11.1</v>
      </c>
      <c r="D7" s="12">
        <f>LOOKUP(A7,Dataset!A:A,Dataset!R:R)</f>
        <v>5.8</v>
      </c>
      <c r="E7" s="12">
        <f>LOOKUP(A7,Dataset!A:A,Dataset!T:T)</f>
        <v>12.2</v>
      </c>
      <c r="F7" s="8">
        <f>LOOKUP(A7,Dataset!A:A,Dataset!V:V)</f>
        <v>5.8</v>
      </c>
    </row>
    <row r="8" spans="1:7" ht="14.4" x14ac:dyDescent="0.3">
      <c r="A8" s="7" t="s">
        <v>7</v>
      </c>
      <c r="B8" s="12">
        <f>LOOKUP(A8,Dataset!A:A,Dataset!G:G)</f>
        <v>3.6</v>
      </c>
      <c r="C8" s="12">
        <f>LOOKUP(A8,Dataset!A:A,Dataset!N:N)</f>
        <v>11.1</v>
      </c>
      <c r="D8" s="12">
        <f>LOOKUP(A8,Dataset!A:A,Dataset!R:R)</f>
        <v>5.8</v>
      </c>
      <c r="E8" s="12">
        <f>LOOKUP(A8,Dataset!A:A,Dataset!T:T)</f>
        <v>12.2</v>
      </c>
      <c r="F8" s="8">
        <f>LOOKUP(A8,Dataset!A:A,Dataset!V:V)</f>
        <v>5.8</v>
      </c>
    </row>
    <row r="9" spans="1:7" ht="14.4" x14ac:dyDescent="0.3">
      <c r="A9" s="7" t="s">
        <v>8</v>
      </c>
      <c r="B9" s="12">
        <f>LOOKUP(A9,Dataset!A:A,Dataset!G:G)</f>
        <v>47.3</v>
      </c>
      <c r="C9" s="12">
        <f>LOOKUP(A9,Dataset!A:A,Dataset!N:N)</f>
        <v>142.5</v>
      </c>
      <c r="D9" s="12">
        <f>LOOKUP(A9,Dataset!A:A,Dataset!R:R)</f>
        <v>86.4</v>
      </c>
      <c r="E9" s="12">
        <f>LOOKUP(A9,Dataset!A:A,Dataset!T:T)</f>
        <v>174.2</v>
      </c>
      <c r="F9" s="8">
        <f>LOOKUP(A9,Dataset!A:A,Dataset!V:V)</f>
        <v>86.4</v>
      </c>
    </row>
    <row r="10" spans="1:7" ht="14.4" x14ac:dyDescent="0.3">
      <c r="A10" s="7" t="s">
        <v>11</v>
      </c>
      <c r="B10" s="12">
        <f>LOOKUP(A10,Dataset!A:A,Dataset!G:G)</f>
        <v>9.4</v>
      </c>
      <c r="C10" s="12">
        <f>LOOKUP(A10,Dataset!A:A,Dataset!N:N)</f>
        <v>28.3</v>
      </c>
      <c r="D10" s="12">
        <f>LOOKUP(A10,Dataset!A:A,Dataset!R:R)</f>
        <v>16.100000000000001</v>
      </c>
      <c r="E10" s="12">
        <f>LOOKUP(A10,Dataset!A:A,Dataset!T:T)</f>
        <v>32.799999999999997</v>
      </c>
      <c r="F10" s="8">
        <f>LOOKUP(A10,Dataset!A:A,Dataset!V:V)</f>
        <v>16.100000000000001</v>
      </c>
    </row>
    <row r="11" spans="1:7" ht="14.4" x14ac:dyDescent="0.3">
      <c r="A11" s="7" t="s">
        <v>12</v>
      </c>
      <c r="B11" s="12">
        <f>LOOKUP(A11,Dataset!A:A,Dataset!G:G)</f>
        <v>49.1</v>
      </c>
      <c r="C11" s="12">
        <f>LOOKUP(A11,Dataset!A:A,Dataset!N:N)</f>
        <v>146.80000000000001</v>
      </c>
      <c r="D11" s="12">
        <f>LOOKUP(A11,Dataset!A:A,Dataset!R:R)</f>
        <v>90.9</v>
      </c>
      <c r="E11" s="12">
        <f>LOOKUP(A11,Dataset!A:A,Dataset!T:T)</f>
        <v>183.5</v>
      </c>
      <c r="F11" s="8">
        <f>LOOKUP(A11,Dataset!A:A,Dataset!V:V)</f>
        <v>90.9</v>
      </c>
    </row>
    <row r="12" spans="1:7" ht="14.4" x14ac:dyDescent="0.3">
      <c r="A12" s="7" t="s">
        <v>14</v>
      </c>
      <c r="B12" s="12">
        <f>LOOKUP(A12,Dataset!A:A,Dataset!G:G)</f>
        <v>3.6</v>
      </c>
      <c r="C12" s="12">
        <f>LOOKUP(A12,Dataset!A:A,Dataset!N:N)</f>
        <v>11.1</v>
      </c>
      <c r="D12" s="12">
        <f>LOOKUP(A12,Dataset!A:A,Dataset!R:R)</f>
        <v>5.8</v>
      </c>
      <c r="E12" s="12">
        <f>LOOKUP(A12,Dataset!A:A,Dataset!T:T)</f>
        <v>12.2</v>
      </c>
      <c r="F12" s="8">
        <f>LOOKUP(A12,Dataset!A:A,Dataset!V:V)</f>
        <v>5.8</v>
      </c>
    </row>
    <row r="13" spans="1:7" ht="14.4" x14ac:dyDescent="0.3">
      <c r="A13" s="7" t="s">
        <v>15</v>
      </c>
      <c r="B13" s="12">
        <f>LOOKUP(A13,Dataset!A:A,Dataset!G:G)</f>
        <v>0</v>
      </c>
      <c r="C13" s="12">
        <f>LOOKUP(A13,Dataset!A:A,Dataset!N:N)</f>
        <v>0</v>
      </c>
      <c r="D13" s="12">
        <f>LOOKUP(A13,Dataset!A:A,Dataset!R:R)</f>
        <v>0</v>
      </c>
      <c r="E13" s="12">
        <f>LOOKUP(A13,Dataset!A:A,Dataset!T:T)</f>
        <v>0</v>
      </c>
      <c r="F13" s="8">
        <f>LOOKUP(A13,Dataset!A:A,Dataset!V:V)</f>
        <v>0</v>
      </c>
    </row>
    <row r="14" spans="1:7" ht="14.4" x14ac:dyDescent="0.3">
      <c r="A14" s="7" t="s">
        <v>16</v>
      </c>
      <c r="B14" s="12">
        <f>LOOKUP(A14,Dataset!A:A,Dataset!G:G)</f>
        <v>50.6</v>
      </c>
      <c r="C14" s="12">
        <f>LOOKUP(A14,Dataset!A:A,Dataset!N:N)</f>
        <v>151.5</v>
      </c>
      <c r="D14" s="12">
        <f>LOOKUP(A14,Dataset!A:A,Dataset!R:R)</f>
        <v>93.1</v>
      </c>
      <c r="E14" s="12">
        <f>LOOKUP(A14,Dataset!A:A,Dataset!T:T)</f>
        <v>188.1</v>
      </c>
      <c r="F14" s="8">
        <f>LOOKUP(A14,Dataset!A:A,Dataset!V:V)</f>
        <v>93.1</v>
      </c>
    </row>
    <row r="15" spans="1:7" ht="14.4" x14ac:dyDescent="0.3">
      <c r="A15" s="7" t="s">
        <v>18</v>
      </c>
      <c r="B15" s="12">
        <f>LOOKUP(A15,Dataset!A:A,Dataset!G:G)</f>
        <v>3.6</v>
      </c>
      <c r="C15" s="12">
        <f>LOOKUP(A15,Dataset!A:A,Dataset!N:N)</f>
        <v>11.1</v>
      </c>
      <c r="D15" s="12">
        <f>LOOKUP(A15,Dataset!A:A,Dataset!R:R)</f>
        <v>5.8</v>
      </c>
      <c r="E15" s="12">
        <f>LOOKUP(A15,Dataset!A:A,Dataset!T:T)</f>
        <v>12.2</v>
      </c>
      <c r="F15" s="8">
        <f>LOOKUP(A15,Dataset!A:A,Dataset!V:V)</f>
        <v>5.8</v>
      </c>
    </row>
    <row r="16" spans="1:7" ht="14.4" x14ac:dyDescent="0.3">
      <c r="A16" s="7" t="s">
        <v>20</v>
      </c>
      <c r="B16" s="12">
        <f>LOOKUP(A16,Dataset!A:A,Dataset!G:G)</f>
        <v>29.1</v>
      </c>
      <c r="C16" s="12">
        <f>LOOKUP(A16,Dataset!A:A,Dataset!N:N)</f>
        <v>87.6</v>
      </c>
      <c r="D16" s="12">
        <f>LOOKUP(A16,Dataset!A:A,Dataset!R:R)</f>
        <v>53.7</v>
      </c>
      <c r="E16" s="12">
        <f>LOOKUP(A16,Dataset!A:A,Dataset!T:T)</f>
        <v>108.8</v>
      </c>
      <c r="F16" s="8">
        <f>LOOKUP(A16,Dataset!A:A,Dataset!V:V)</f>
        <v>53.7</v>
      </c>
    </row>
    <row r="17" spans="1:6" ht="14.4" x14ac:dyDescent="0.3">
      <c r="A17" s="7" t="s">
        <v>22</v>
      </c>
      <c r="B17" s="12">
        <f>LOOKUP(A17,Dataset!A:A,Dataset!G:G)</f>
        <v>30.7</v>
      </c>
      <c r="C17" s="12">
        <f>LOOKUP(A17,Dataset!A:A,Dataset!N:N)</f>
        <v>92.1</v>
      </c>
      <c r="D17" s="12">
        <f>LOOKUP(A17,Dataset!A:A,Dataset!R:R)</f>
        <v>57</v>
      </c>
      <c r="E17" s="12">
        <f>LOOKUP(A17,Dataset!A:A,Dataset!T:T)</f>
        <v>115.1</v>
      </c>
      <c r="F17" s="8">
        <f>LOOKUP(A17,Dataset!A:A,Dataset!V:V)</f>
        <v>57</v>
      </c>
    </row>
    <row r="18" spans="1:6" ht="14.4" x14ac:dyDescent="0.3">
      <c r="A18" s="7" t="s">
        <v>23</v>
      </c>
      <c r="B18" s="12">
        <f>LOOKUP(A18,Dataset!A:A,Dataset!G:G)</f>
        <v>49.1</v>
      </c>
      <c r="C18" s="12">
        <f>LOOKUP(A18,Dataset!A:A,Dataset!N:N)</f>
        <v>146.80000000000001</v>
      </c>
      <c r="D18" s="12">
        <f>LOOKUP(A18,Dataset!A:A,Dataset!R:R)</f>
        <v>90.9</v>
      </c>
      <c r="E18" s="12">
        <f>LOOKUP(A18,Dataset!A:A,Dataset!T:T)</f>
        <v>183.5</v>
      </c>
      <c r="F18" s="8">
        <f>LOOKUP(A18,Dataset!A:A,Dataset!V:V)</f>
        <v>90.9</v>
      </c>
    </row>
    <row r="19" spans="1:6" ht="14.4" x14ac:dyDescent="0.3">
      <c r="A19" s="7" t="s">
        <v>24</v>
      </c>
      <c r="B19" s="12">
        <f>LOOKUP(A19,Dataset!A:A,Dataset!G:G)</f>
        <v>47.3</v>
      </c>
      <c r="C19" s="12">
        <f>LOOKUP(A19,Dataset!A:A,Dataset!N:N)</f>
        <v>142.5</v>
      </c>
      <c r="D19" s="12">
        <f>LOOKUP(A19,Dataset!A:A,Dataset!R:R)</f>
        <v>86.4</v>
      </c>
      <c r="E19" s="12">
        <f>LOOKUP(A19,Dataset!A:A,Dataset!T:T)</f>
        <v>174.2</v>
      </c>
      <c r="F19" s="8">
        <f>LOOKUP(A19,Dataset!A:A,Dataset!V:V)</f>
        <v>86.4</v>
      </c>
    </row>
    <row r="20" spans="1:6" ht="14.4" x14ac:dyDescent="0.3">
      <c r="A20" s="7" t="s">
        <v>28</v>
      </c>
      <c r="B20" s="12">
        <f>LOOKUP(A20,Dataset!A:A,Dataset!G:G)</f>
        <v>26.8</v>
      </c>
      <c r="C20" s="12">
        <f>LOOKUP(A20,Dataset!A:A,Dataset!N:N)</f>
        <v>79.599999999999994</v>
      </c>
      <c r="D20" s="12">
        <f>LOOKUP(A20,Dataset!A:A,Dataset!R:R)</f>
        <v>47.9</v>
      </c>
      <c r="E20" s="12">
        <f>LOOKUP(A20,Dataset!A:A,Dataset!T:T)</f>
        <v>96.8</v>
      </c>
      <c r="F20" s="8">
        <f>LOOKUP(A20,Dataset!A:A,Dataset!V:V)</f>
        <v>47.9</v>
      </c>
    </row>
    <row r="21" spans="1:6" ht="14.4" x14ac:dyDescent="0.3">
      <c r="A21" s="7" t="s">
        <v>57</v>
      </c>
      <c r="B21" s="12">
        <f>LOOKUP(A21,Dataset!A:A,Dataset!G:G)</f>
        <v>49.1</v>
      </c>
      <c r="C21" s="12">
        <f>LOOKUP(A21,Dataset!A:A,Dataset!N:N)</f>
        <v>146.80000000000001</v>
      </c>
      <c r="D21" s="12">
        <f>LOOKUP(A21,Dataset!A:A,Dataset!R:R)</f>
        <v>90.9</v>
      </c>
      <c r="E21" s="12">
        <f>LOOKUP(A21,Dataset!A:A,Dataset!T:T)</f>
        <v>183.5</v>
      </c>
      <c r="F21" s="8">
        <f>LOOKUP(A21,Dataset!A:A,Dataset!V:V)</f>
        <v>90.9</v>
      </c>
    </row>
    <row r="22" spans="1:6" ht="14.4" x14ac:dyDescent="0.3">
      <c r="A22" s="7" t="s">
        <v>58</v>
      </c>
      <c r="B22" s="12">
        <f>LOOKUP(A22,Dataset!A:A,Dataset!G:G)</f>
        <v>49.1</v>
      </c>
      <c r="C22" s="12">
        <f>LOOKUP(A22,Dataset!A:A,Dataset!N:N)</f>
        <v>146.80000000000001</v>
      </c>
      <c r="D22" s="12">
        <f>LOOKUP(A22,Dataset!A:A,Dataset!R:R)</f>
        <v>90.9</v>
      </c>
      <c r="E22" s="12">
        <f>LOOKUP(A22,Dataset!A:A,Dataset!T:T)</f>
        <v>183.5</v>
      </c>
      <c r="F22" s="8">
        <f>LOOKUP(A22,Dataset!A:A,Dataset!V:V)</f>
        <v>90.9</v>
      </c>
    </row>
    <row r="23" spans="1:6" ht="14.4" x14ac:dyDescent="0.3">
      <c r="A23" s="7" t="s">
        <v>31</v>
      </c>
      <c r="B23" s="12">
        <f>LOOKUP(A23,Dataset!A:A,Dataset!G:G)</f>
        <v>47.3</v>
      </c>
      <c r="C23" s="12">
        <f>LOOKUP(A23,Dataset!A:A,Dataset!N:N)</f>
        <v>142.5</v>
      </c>
      <c r="D23" s="12">
        <f>LOOKUP(A23,Dataset!A:A,Dataset!R:R)</f>
        <v>86.4</v>
      </c>
      <c r="E23" s="12">
        <f>LOOKUP(A23,Dataset!A:A,Dataset!T:T)</f>
        <v>174.2</v>
      </c>
      <c r="F23" s="8">
        <f>LOOKUP(A23,Dataset!A:A,Dataset!V:V)</f>
        <v>86.4</v>
      </c>
    </row>
    <row r="24" spans="1:6" ht="14.4" x14ac:dyDescent="0.3">
      <c r="A24" s="7" t="s">
        <v>32</v>
      </c>
      <c r="B24" s="12">
        <f>LOOKUP(A24,Dataset!A:A,Dataset!G:G)</f>
        <v>-1</v>
      </c>
      <c r="C24" s="12">
        <f>LOOKUP(A24,Dataset!A:A,Dataset!N:N)</f>
        <v>-1</v>
      </c>
      <c r="D24" s="12">
        <f>LOOKUP(A24,Dataset!A:A,Dataset!R:R)</f>
        <v>-1</v>
      </c>
      <c r="E24" s="12">
        <f>LOOKUP(A24,Dataset!A:A,Dataset!T:T)</f>
        <v>-1</v>
      </c>
      <c r="F24" s="8">
        <f>LOOKUP(A24,Dataset!A:A,Dataset!V:V)</f>
        <v>-1</v>
      </c>
    </row>
    <row r="25" spans="1:6" ht="14.4" x14ac:dyDescent="0.3">
      <c r="A25" s="7" t="s">
        <v>34</v>
      </c>
      <c r="B25" s="12">
        <f>LOOKUP(A25,Dataset!A:A,Dataset!G:G)</f>
        <v>49.1</v>
      </c>
      <c r="C25" s="12">
        <f>LOOKUP(A25,Dataset!A:A,Dataset!N:N)</f>
        <v>146.80000000000001</v>
      </c>
      <c r="D25" s="12">
        <f>LOOKUP(A25,Dataset!A:A,Dataset!R:R)</f>
        <v>90.9</v>
      </c>
      <c r="E25" s="12">
        <f>LOOKUP(A25,Dataset!A:A,Dataset!T:T)</f>
        <v>183.5</v>
      </c>
      <c r="F25" s="8">
        <f>LOOKUP(A25,Dataset!A:A,Dataset!V:V)</f>
        <v>90.9</v>
      </c>
    </row>
    <row r="26" spans="1:6" ht="14.4" x14ac:dyDescent="0.3">
      <c r="A26" s="7" t="s">
        <v>37</v>
      </c>
      <c r="B26" s="12">
        <f>LOOKUP(A26,Dataset!A:A,Dataset!G:G)</f>
        <v>49.1</v>
      </c>
      <c r="C26" s="12">
        <f>LOOKUP(A26,Dataset!A:A,Dataset!N:N)</f>
        <v>146.80000000000001</v>
      </c>
      <c r="D26" s="12">
        <f>LOOKUP(A26,Dataset!A:A,Dataset!R:R)</f>
        <v>90.9</v>
      </c>
      <c r="E26" s="12">
        <f>LOOKUP(A26,Dataset!A:A,Dataset!T:T)</f>
        <v>183.5</v>
      </c>
      <c r="F26" s="8">
        <f>LOOKUP(A26,Dataset!A:A,Dataset!V:V)</f>
        <v>90.9</v>
      </c>
    </row>
    <row r="27" spans="1:6" ht="14.4" x14ac:dyDescent="0.3">
      <c r="A27" s="7" t="s">
        <v>39</v>
      </c>
      <c r="B27" s="12">
        <f>LOOKUP(A27,Dataset!A:A,Dataset!G:G)</f>
        <v>51.8</v>
      </c>
      <c r="C27" s="12">
        <f>LOOKUP(A27,Dataset!A:A,Dataset!N:N)</f>
        <v>156.4</v>
      </c>
      <c r="D27" s="12">
        <f>LOOKUP(A27,Dataset!A:A,Dataset!R:R)</f>
        <v>93.1</v>
      </c>
      <c r="E27" s="12">
        <f>LOOKUP(A27,Dataset!A:A,Dataset!T:T)</f>
        <v>188.1</v>
      </c>
      <c r="F27" s="8">
        <f>LOOKUP(A27,Dataset!A:A,Dataset!V:V)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31.700000000000003</v>
      </c>
      <c r="C30" s="31">
        <f t="shared" ref="C30:F30" si="2">AVERAGE(C6:C27)</f>
        <v>95.181818181818187</v>
      </c>
      <c r="D30" s="31">
        <f t="shared" si="2"/>
        <v>58.118181818181817</v>
      </c>
      <c r="E30" s="31">
        <f t="shared" si="2"/>
        <v>117.48181818181818</v>
      </c>
      <c r="F30" s="31">
        <f t="shared" si="2"/>
        <v>58.118181818181817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3" sqref="A13"/>
    </sheetView>
  </sheetViews>
  <sheetFormatPr defaultColWidth="11" defaultRowHeight="14.4" x14ac:dyDescent="0.3"/>
  <cols>
    <col min="1" max="1" width="39.77734375" style="1" bestFit="1" customWidth="1"/>
    <col min="2" max="7" width="11" style="1"/>
    <col min="8" max="8" width="32.77734375" style="1" customWidth="1"/>
    <col min="9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3" spans="1:10" ht="58.8" customHeight="1" x14ac:dyDescent="0.3">
      <c r="H13" s="48" t="s">
        <v>180</v>
      </c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4"/>
  <sheetViews>
    <sheetView topLeftCell="A7" zoomScaleNormal="100" workbookViewId="0">
      <selection activeCell="D24" sqref="D2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27.8867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178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  <row r="24" spans="1:3" ht="41.4" x14ac:dyDescent="0.3">
      <c r="C24" s="47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6"/>
  <sheetViews>
    <sheetView tabSelected="1" topLeftCell="A8" zoomScaleNormal="100" workbookViewId="0">
      <selection activeCell="O10" sqref="O10:O1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2" t="s">
        <v>98</v>
      </c>
      <c r="B1" s="41" t="s">
        <v>174</v>
      </c>
    </row>
    <row r="3" spans="1:15" ht="14.4" x14ac:dyDescent="0.3">
      <c r="B3" s="1" t="s">
        <v>151</v>
      </c>
    </row>
    <row r="4" spans="1:15" ht="18" x14ac:dyDescent="0.35">
      <c r="A4" s="43" t="s">
        <v>53</v>
      </c>
      <c r="B4" s="1"/>
    </row>
    <row r="5" spans="1:15" ht="18" x14ac:dyDescent="0.35">
      <c r="A5" s="43" t="s">
        <v>153</v>
      </c>
      <c r="B5" s="1"/>
    </row>
    <row r="6" spans="1:15" ht="14.4" x14ac:dyDescent="0.3">
      <c r="A6" s="3"/>
      <c r="B6" s="1"/>
    </row>
    <row r="8" spans="1:15" ht="23.4" x14ac:dyDescent="0.45">
      <c r="A8" s="18" t="s">
        <v>162</v>
      </c>
      <c r="M8" s="18" t="s">
        <v>163</v>
      </c>
    </row>
    <row r="9" spans="1:15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5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  <c r="O10"/>
    </row>
    <row r="11" spans="1:15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  <c r="O11"/>
    </row>
    <row r="12" spans="1:15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  <c r="O12"/>
    </row>
    <row r="13" spans="1:15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  <c r="O13"/>
    </row>
    <row r="14" spans="1:15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  <c r="O14"/>
    </row>
    <row r="15" spans="1:15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  <c r="O15"/>
    </row>
    <row r="16" spans="1:15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  <c r="O16"/>
    </row>
    <row r="17" spans="1:15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  <c r="O17"/>
    </row>
    <row r="18" spans="1:15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  <c r="O18"/>
    </row>
    <row r="21" spans="1:15" ht="23.4" x14ac:dyDescent="0.45">
      <c r="A21" s="18" t="s">
        <v>167</v>
      </c>
    </row>
    <row r="22" spans="1:15" ht="14.4" x14ac:dyDescent="0.3">
      <c r="A22" s="14" t="s">
        <v>100</v>
      </c>
      <c r="B22" s="17" t="s">
        <v>101</v>
      </c>
      <c r="C22" s="16" t="s">
        <v>102</v>
      </c>
    </row>
    <row r="23" spans="1:15" ht="14.4" x14ac:dyDescent="0.3">
      <c r="A23" s="7">
        <v>10100</v>
      </c>
      <c r="B23" s="12">
        <v>10102</v>
      </c>
      <c r="C23" s="44">
        <f>INDEX($B$10:$J$18,MATCH(VLOOKUP(A23,$M$10:$N$18,2,0),$A$10:$A$18),MATCH(VLOOKUP(B23,$M$10:$N$18,2,0),$B$9:$J$9))</f>
        <v>95</v>
      </c>
      <c r="D23"/>
      <c r="E23"/>
      <c r="F23"/>
      <c r="G23"/>
      <c r="H23"/>
      <c r="I23"/>
      <c r="J23"/>
      <c r="K23"/>
      <c r="L23"/>
    </row>
    <row r="24" spans="1:15" ht="14.4" x14ac:dyDescent="0.3">
      <c r="A24" s="7">
        <v>10100</v>
      </c>
      <c r="B24" s="12">
        <v>10104</v>
      </c>
      <c r="C24" s="44">
        <f>INDEX($B$10:$J$18,MATCH(VLOOKUP(A24,$M$10:$N$18,2,0),$A$10:$A$18),MATCH(VLOOKUP(B24,$M$10:$N$18,2,0),$B$9:$J$9))</f>
        <v>-1</v>
      </c>
      <c r="D24"/>
      <c r="E24"/>
      <c r="F24"/>
      <c r="G24"/>
      <c r="H24"/>
      <c r="I24"/>
      <c r="J24"/>
      <c r="K24"/>
      <c r="L24"/>
    </row>
    <row r="25" spans="1:15" ht="14.4" x14ac:dyDescent="0.3">
      <c r="A25" s="7">
        <v>10108</v>
      </c>
      <c r="B25" s="12">
        <v>10102</v>
      </c>
      <c r="C25" s="44">
        <f t="shared" ref="C24:C35" si="0">INDEX($B$10:$J$18,MATCH(VLOOKUP(A25,$M$10:$N$18,2,0),$A$10:$A$18),MATCH(VLOOKUP(B25,$M$10:$N$18,2,0),$B$9:$J$9))</f>
        <v>160</v>
      </c>
      <c r="D25"/>
      <c r="E25"/>
      <c r="F25"/>
      <c r="G25"/>
      <c r="H25"/>
      <c r="I25"/>
      <c r="J25"/>
      <c r="K25"/>
      <c r="L25"/>
    </row>
    <row r="26" spans="1:15" ht="14.4" x14ac:dyDescent="0.3">
      <c r="A26" s="7">
        <v>10100</v>
      </c>
      <c r="B26" s="12">
        <v>10106</v>
      </c>
      <c r="C26" s="44">
        <f t="shared" si="0"/>
        <v>185</v>
      </c>
      <c r="D26"/>
      <c r="E26"/>
      <c r="F26"/>
      <c r="G26"/>
      <c r="H26"/>
      <c r="I26"/>
      <c r="J26"/>
      <c r="K26"/>
      <c r="L26"/>
    </row>
    <row r="27" spans="1:15" ht="14.4" x14ac:dyDescent="0.3">
      <c r="A27" s="7">
        <v>10108</v>
      </c>
      <c r="B27" s="12">
        <v>10110</v>
      </c>
      <c r="C27" s="44">
        <f t="shared" si="0"/>
        <v>50</v>
      </c>
      <c r="D27"/>
      <c r="E27"/>
      <c r="F27"/>
      <c r="G27"/>
      <c r="H27"/>
      <c r="I27"/>
      <c r="J27"/>
      <c r="K27"/>
      <c r="L27"/>
    </row>
    <row r="28" spans="1:15" ht="14.4" x14ac:dyDescent="0.3">
      <c r="A28" s="7">
        <v>10102</v>
      </c>
      <c r="B28" s="12">
        <v>10104</v>
      </c>
      <c r="C28" s="44">
        <f t="shared" si="0"/>
        <v>-1</v>
      </c>
      <c r="D28"/>
      <c r="E28"/>
      <c r="F28"/>
      <c r="G28"/>
      <c r="H28"/>
      <c r="I28"/>
      <c r="J28"/>
      <c r="K28"/>
      <c r="L28"/>
    </row>
    <row r="29" spans="1:15" ht="14.4" x14ac:dyDescent="0.3">
      <c r="A29" s="7">
        <v>10106</v>
      </c>
      <c r="B29" s="12">
        <v>10108</v>
      </c>
      <c r="C29" s="44">
        <f t="shared" si="0"/>
        <v>70</v>
      </c>
      <c r="D29"/>
      <c r="E29"/>
      <c r="F29"/>
      <c r="G29"/>
      <c r="H29"/>
      <c r="I29"/>
      <c r="J29"/>
      <c r="K29"/>
      <c r="L29"/>
    </row>
    <row r="30" spans="1:15" ht="14.4" x14ac:dyDescent="0.3">
      <c r="A30" s="7">
        <v>10102</v>
      </c>
      <c r="B30" s="12">
        <v>10106</v>
      </c>
      <c r="C30" s="44">
        <f t="shared" si="0"/>
        <v>90</v>
      </c>
      <c r="D30"/>
      <c r="E30"/>
      <c r="F30"/>
      <c r="G30"/>
      <c r="H30"/>
      <c r="I30"/>
      <c r="J30"/>
      <c r="K30"/>
      <c r="L30"/>
    </row>
    <row r="31" spans="1:15" ht="14.4" x14ac:dyDescent="0.3">
      <c r="A31" s="7">
        <v>10110</v>
      </c>
      <c r="B31" s="12">
        <v>10114</v>
      </c>
      <c r="C31" s="44">
        <f t="shared" si="0"/>
        <v>180</v>
      </c>
      <c r="D31"/>
      <c r="E31"/>
      <c r="F31"/>
      <c r="G31"/>
      <c r="H31"/>
      <c r="I31"/>
      <c r="J31"/>
      <c r="K31"/>
      <c r="L31"/>
    </row>
    <row r="32" spans="1:15" ht="14.4" x14ac:dyDescent="0.3">
      <c r="A32" s="7">
        <v>10104</v>
      </c>
      <c r="B32" s="12">
        <v>10106</v>
      </c>
      <c r="C32" s="44">
        <f t="shared" si="0"/>
        <v>60</v>
      </c>
      <c r="D32"/>
      <c r="E32"/>
      <c r="F32"/>
      <c r="G32"/>
      <c r="H32"/>
      <c r="I32"/>
      <c r="J32"/>
      <c r="K32"/>
      <c r="L32"/>
    </row>
    <row r="33" spans="1:12" ht="14.4" x14ac:dyDescent="0.3">
      <c r="A33" s="7">
        <v>10110</v>
      </c>
      <c r="B33" s="12">
        <v>10112</v>
      </c>
      <c r="C33" s="44">
        <f t="shared" si="0"/>
        <v>115</v>
      </c>
      <c r="D33"/>
      <c r="E33"/>
      <c r="F33"/>
      <c r="G33"/>
      <c r="H33"/>
      <c r="I33"/>
      <c r="J33"/>
      <c r="K33"/>
      <c r="L33"/>
    </row>
    <row r="34" spans="1:12" ht="14.4" x14ac:dyDescent="0.3">
      <c r="A34" s="7">
        <v>10100</v>
      </c>
      <c r="B34" s="12">
        <v>10114</v>
      </c>
      <c r="C34" s="44">
        <f t="shared" si="0"/>
        <v>480</v>
      </c>
      <c r="D34"/>
      <c r="E34"/>
      <c r="F34"/>
      <c r="G34"/>
      <c r="H34"/>
      <c r="I34"/>
      <c r="J34"/>
      <c r="K34"/>
      <c r="L34"/>
    </row>
    <row r="35" spans="1:12" ht="14.4" x14ac:dyDescent="0.3">
      <c r="A35" s="9">
        <v>10112</v>
      </c>
      <c r="B35" s="13">
        <v>10116</v>
      </c>
      <c r="C35" s="44">
        <f t="shared" si="0"/>
        <v>105</v>
      </c>
      <c r="D35"/>
      <c r="E35"/>
      <c r="F35"/>
      <c r="G35"/>
      <c r="H35"/>
      <c r="I35"/>
      <c r="J35"/>
      <c r="K35"/>
      <c r="L35"/>
    </row>
    <row r="36" spans="1:12" x14ac:dyDescent="0.3">
      <c r="D36"/>
      <c r="E36"/>
      <c r="F36"/>
      <c r="G36"/>
      <c r="H36"/>
      <c r="I36"/>
      <c r="J36"/>
      <c r="K36"/>
      <c r="L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Hari Prasath R</cp:lastModifiedBy>
  <dcterms:created xsi:type="dcterms:W3CDTF">2015-02-10T17:33:11Z</dcterms:created>
  <dcterms:modified xsi:type="dcterms:W3CDTF">2023-12-09T12:44:47Z</dcterms:modified>
</cp:coreProperties>
</file>