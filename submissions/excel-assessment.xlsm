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-Data-Assessment-F-main\"/>
    </mc:Choice>
  </mc:AlternateContent>
  <xr:revisionPtr revIDLastSave="0" documentId="13_ncr:1_{9E60732F-E2B2-48DF-A36B-F0EAC0055378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8" l="1"/>
  <c r="E29" i="18"/>
  <c r="F29" i="18"/>
  <c r="D28" i="18"/>
  <c r="E28" i="18"/>
  <c r="F28" i="18"/>
  <c r="D30" i="18"/>
  <c r="E30" i="18"/>
  <c r="F30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6" i="18"/>
  <c r="B30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I5" i="1"/>
  <c r="I3" i="1"/>
  <c r="I2" i="1"/>
  <c r="I4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D12" i="19" a="1"/>
  <c r="D12" i="19" s="1"/>
  <c r="D22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<sst xmlns="http://schemas.openxmlformats.org/spreadsheetml/2006/main" count="404" uniqueCount="181">
  <si>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</si>
  <si>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</si>
  <si>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</si>
  <si>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</si>
  <si>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</si>
  <si>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</si>
  <si>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</si>
  <si>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</si>
  <si>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</si>
  <si>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</si>
  <si>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</si>
  <si>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</si>
  <si>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</si>
  <si>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</si>
  <si>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</si>
  <si>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</si>
  <si>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</si>
  <si>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</si>
  <si>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</si>
  <si>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</si>
  <si>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</si>
  <si>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</si>
  <si>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</si>
  <si>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</si>
  <si>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</si>
  <si>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</si>
  <si>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</si>
  <si>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</si>
  <si>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</si>
  <si>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</si>
  <si>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</si>
  <si>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</si>
  <si>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</si>
  <si>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</si>
  <si>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</si>
  <si>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</si>
  <si>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</si>
  <si>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</si>
  <si>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</si>
  <si>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</si>
  <si>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</si>
  <si>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</si>
  <si>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</si>
  <si>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</si>
  <si>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</si>
  <si>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</si>
  <si>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</si>
  <si>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</si>
  <si>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</si>
  <si>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</si>
  <si>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</si>
  <si>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</si>
  <si>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</si>
  <si>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</si>
  <si>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</si>
  <si>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</si>
  <si>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</si>
  <si>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</si>
  <si>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</si>
  <si>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</si>
  <si>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</si>
  <si>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</si>
  <si>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</si>
  <si>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</si>
  <si>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</si>
  <si>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</si>
  <si>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</si>
  <si>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</si>
  <si>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</si>
  <si>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</si>
  <si>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</si>
  <si>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</si>
  <si>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</si>
  <si>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</si>
  <si>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</si>
  <si>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</si>
  <si>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</si>
  <si>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</si>
  <si>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</si>
  <si>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</si>
  <si>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</si>
  <si>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</si>
  <si>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</si>
  <si>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</si>
  <si>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</si>
  <si>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</si>
  <si>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</si>
  <si>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</si>
  <si>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</si>
  <si>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</si>
  <si>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</si>
  <si>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</si>
  <si>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</si>
  <si>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</si>
  <si>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</si>
  <si>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</si>
  <si>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</si>
  <si>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</si>
  <si>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</si>
  <si>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</si>
  <si>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</si>
  <si>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</si>
  <si>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</si>
  <si>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</si>
  <si>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</si>
  <si>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</si>
  <si>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</si>
  <si>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</si>
  <si>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</si>
  <si>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</si>
  <si>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</si>
  <si>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</si>
  <si>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</si>
  <si>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</si>
  <si>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</si>
  <si>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</si>
  <si>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</si>
  <si>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</si>
  <si>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</si>
  <si>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</si>
  <si>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</si>
  <si>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</si>
  <si>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</si>
  <si>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</si>
  <si>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</si>
  <si>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</si>
  <si>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</si>
  <si>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</si>
  <si>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</si>
  <si>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</si>
  <si>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</si>
  <si>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</si>
  <si>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</si>
  <si>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</si>
  <si>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</si>
  <si>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</si>
  <si>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</si>
  <si>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</si>
  <si>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</si>
  <si>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</si>
  <si>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</si>
  <si>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</si>
  <si>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</si>
  <si>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</si>
  <si>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</si>
  <si>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</si>
  <si>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</si>
  <si>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</si>
  <si>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</si>
  <si>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</si>
  <si>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</si>
  <si>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</si>
  <si>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</si>
  <si>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</si>
  <si>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</si>
  <si>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</si>
  <si>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</si>
  <si>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</si>
  <si>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</si>
  <si>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</si>
  <si>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</si>
  <si>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</si>
  <si>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</si>
  <si>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</si>
  <si>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</si>
  <si>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</si>
  <si>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</si>
  <si>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</si>
  <si>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</si>
  <si>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</si>
  <si>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</si>
  <si>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</si>
  <si>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</si>
  <si>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</si>
  <si>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</si>
  <si>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</si>
  <si>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</si>
  <si>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The functionality described above is called "Text to Columns" in Excel.</t>
  </si>
  <si>
    <t>The feature provides a step-by-step wizard, guiding users through the process of selecting the data, choosing the delimiter, and determining the format for each resulting column. It's a convenient tool for quickly restructuring and organizing data in Excel spreadsheets.</t>
  </si>
  <si>
    <t>IFERROR(C12:C21, 20)</t>
  </si>
  <si>
    <t>The formula IFERROR(C12:C21, 20) checks each cell in the range C12 to C21 for errors. If any cell contains an error, such as #N/A, it replaces the error with the value '20'. This ensures that the resulting values are either the original numeric values or '20' in case of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</si>
</sst>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134</v>
      </c>
    </row>
    <row r="9" spans="1:3" x14ac:dyDescent="0.3">
      <c r="A9" s="35" t="s">
        <v>132</v>
      </c>
      <c r="B9" s="26" t="s">
        <v>130</v>
      </c>
    </row>
    <row r="10" spans="1:3" x14ac:dyDescent="0.3">
      <c r="A10" s="34" t="s">
        <v>133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131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D1" zoomScale="72" zoomScaleNormal="53" workbookViewId="0">
      <pane ySplit="1" topLeftCell="A2" activePane="bottomLeft" state="frozen"/>
      <selection pane="bottomLeft" activeCell="H42" sqref="H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8" width="12.77734375" style="1" bestFit="1" customWidth="1"/>
    <col min="9" max="9" width="12.77734375" style="1" customWidth="1"/>
    <col min="10" max="10" width="12.77734375" style="1" bestFit="1" customWidth="1"/>
    <col min="11" max="13" width="13" style="1" bestFit="1" customWidth="1"/>
    <col min="14" max="16" width="14.21875" style="1" bestFit="1" customWidth="1"/>
    <col min="17" max="19" width="14.44140625" style="1" bestFit="1" customWidth="1"/>
    <col min="20" max="21" width="18.77734375" style="1" bestFit="1" customWidth="1"/>
    <col min="22" max="24" width="19" style="1" bestFit="1" customWidth="1"/>
    <col min="25" max="25" width="12.5546875" style="45" bestFit="1" customWidth="1"/>
    <col min="26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138</v>
      </c>
      <c r="J1" s="29" t="s">
        <v>66</v>
      </c>
      <c r="K1" s="30" t="s">
        <v>67</v>
      </c>
      <c r="L1" s="30" t="s">
        <v>68</v>
      </c>
      <c r="M1" s="30" t="s">
        <v>69</v>
      </c>
      <c r="N1" s="29" t="s">
        <v>70</v>
      </c>
      <c r="O1" s="29" t="s">
        <v>71</v>
      </c>
      <c r="P1" s="29" t="s">
        <v>72</v>
      </c>
      <c r="Q1" s="30" t="s">
        <v>73</v>
      </c>
      <c r="R1" s="30" t="s">
        <v>74</v>
      </c>
      <c r="S1" s="30" t="s">
        <v>75</v>
      </c>
      <c r="T1" s="29" t="s">
        <v>80</v>
      </c>
      <c r="U1" s="29" t="s">
        <v>76</v>
      </c>
      <c r="V1" s="30" t="s">
        <v>81</v>
      </c>
      <c r="W1" s="30" t="s">
        <v>77</v>
      </c>
      <c r="X1" s="30" t="s">
        <v>78</v>
      </c>
      <c r="Y1" s="44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f>SUMIF(H1:H99, "&gt;20")</f>
        <v>1473.0000000000002</v>
      </c>
      <c r="J2" s="1">
        <v>4.2</v>
      </c>
      <c r="K2" s="1">
        <v>-1</v>
      </c>
      <c r="L2" s="1">
        <v>-1</v>
      </c>
      <c r="M2" s="1">
        <v>-1</v>
      </c>
      <c r="N2" s="1">
        <v>5.3</v>
      </c>
      <c r="O2" s="1">
        <v>7.6</v>
      </c>
      <c r="P2" s="1">
        <v>8.9</v>
      </c>
      <c r="Q2" s="1">
        <v>2.7</v>
      </c>
      <c r="R2" s="1">
        <v>3.6</v>
      </c>
      <c r="S2" s="1">
        <v>4.2</v>
      </c>
      <c r="T2" s="1">
        <v>7.6</v>
      </c>
      <c r="U2" s="1">
        <v>8.9</v>
      </c>
      <c r="V2" s="1">
        <v>3.6</v>
      </c>
      <c r="W2" s="1">
        <v>4.2</v>
      </c>
      <c r="X2" s="1">
        <v>4.2</v>
      </c>
      <c r="Y2" s="45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f>SUMIF(H2:H100, "&gt;20")</f>
        <v>1473.0000000000002</v>
      </c>
      <c r="J3" s="1">
        <v>4.2</v>
      </c>
      <c r="K3" s="1">
        <v>-1</v>
      </c>
      <c r="L3" s="1">
        <v>-1</v>
      </c>
      <c r="M3" s="1">
        <v>-1</v>
      </c>
      <c r="N3" s="1">
        <v>5.3</v>
      </c>
      <c r="O3" s="1">
        <v>7.6</v>
      </c>
      <c r="P3" s="1">
        <v>8.9</v>
      </c>
      <c r="Q3" s="1">
        <v>2.7</v>
      </c>
      <c r="R3" s="1">
        <v>3.6</v>
      </c>
      <c r="S3" s="1">
        <v>4.2</v>
      </c>
      <c r="T3" s="1">
        <v>7.6</v>
      </c>
      <c r="U3" s="1">
        <v>8.9</v>
      </c>
      <c r="V3" s="1">
        <v>3.6</v>
      </c>
      <c r="W3" s="1">
        <v>4.2</v>
      </c>
      <c r="X3" s="1">
        <v>4.2</v>
      </c>
      <c r="Y3" s="45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f t="shared" ref="I4:I40" si="0">SUMIF(H3:H101, "&gt;20")</f>
        <v>1473.0000000000002</v>
      </c>
      <c r="J4" s="1">
        <v>5.8</v>
      </c>
      <c r="K4" s="1">
        <v>-1</v>
      </c>
      <c r="L4" s="1">
        <v>-1</v>
      </c>
      <c r="M4" s="1">
        <v>-1</v>
      </c>
      <c r="N4" s="1">
        <v>7.6</v>
      </c>
      <c r="O4" s="1">
        <v>11.1</v>
      </c>
      <c r="P4" s="1">
        <v>12.2</v>
      </c>
      <c r="Q4" s="1">
        <v>3.6</v>
      </c>
      <c r="R4" s="1">
        <v>5.4</v>
      </c>
      <c r="S4" s="1">
        <v>5.8</v>
      </c>
      <c r="T4" s="1">
        <v>11.1</v>
      </c>
      <c r="U4" s="1">
        <v>12.2</v>
      </c>
      <c r="V4" s="1">
        <v>5.4</v>
      </c>
      <c r="W4" s="1">
        <v>5.8</v>
      </c>
      <c r="X4" s="1">
        <v>5.8</v>
      </c>
      <c r="Y4" s="45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f>SUMIF(H4:H102, "&gt;20")</f>
        <v>1473.0000000000002</v>
      </c>
      <c r="J5" s="1">
        <v>8.1</v>
      </c>
      <c r="K5" s="1">
        <v>-1</v>
      </c>
      <c r="L5" s="1">
        <v>-1</v>
      </c>
      <c r="M5" s="1">
        <v>-1</v>
      </c>
      <c r="N5" s="1">
        <v>10</v>
      </c>
      <c r="O5" s="1">
        <v>13.3</v>
      </c>
      <c r="P5" s="1">
        <v>17</v>
      </c>
      <c r="Q5" s="1">
        <v>4.9000000000000004</v>
      </c>
      <c r="R5" s="1">
        <v>6.6</v>
      </c>
      <c r="S5" s="1">
        <v>8.1</v>
      </c>
      <c r="T5" s="1">
        <v>13.3</v>
      </c>
      <c r="U5" s="1">
        <v>17</v>
      </c>
      <c r="V5" s="1">
        <v>6.6</v>
      </c>
      <c r="W5" s="1">
        <v>8.1</v>
      </c>
      <c r="X5" s="1">
        <v>8.1</v>
      </c>
      <c r="Y5" s="45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f t="shared" si="0"/>
        <v>1473.0000000000002</v>
      </c>
      <c r="J6" s="1">
        <v>11</v>
      </c>
      <c r="K6" s="1">
        <v>-1</v>
      </c>
      <c r="L6" s="1">
        <v>-1</v>
      </c>
      <c r="M6" s="1">
        <v>-1</v>
      </c>
      <c r="N6" s="1">
        <v>13.3</v>
      </c>
      <c r="O6" s="1">
        <v>18</v>
      </c>
      <c r="P6" s="1">
        <v>22.5</v>
      </c>
      <c r="Q6" s="1">
        <v>6.6</v>
      </c>
      <c r="R6" s="1">
        <v>8.8000000000000007</v>
      </c>
      <c r="S6" s="1">
        <v>11</v>
      </c>
      <c r="T6" s="1">
        <v>18</v>
      </c>
      <c r="U6" s="1">
        <v>22.5</v>
      </c>
      <c r="V6" s="1">
        <v>8.8000000000000007</v>
      </c>
      <c r="W6" s="1">
        <v>11</v>
      </c>
      <c r="X6" s="1">
        <v>11</v>
      </c>
      <c r="Y6" s="45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f t="shared" si="0"/>
        <v>1473.0000000000002</v>
      </c>
      <c r="J7" s="1">
        <v>12.8</v>
      </c>
      <c r="K7" s="1">
        <v>-1</v>
      </c>
      <c r="L7" s="1">
        <v>-1</v>
      </c>
      <c r="M7" s="1">
        <v>-1</v>
      </c>
      <c r="N7" s="1">
        <v>14.4</v>
      </c>
      <c r="O7" s="1">
        <v>21.5</v>
      </c>
      <c r="P7" s="1">
        <v>26.1</v>
      </c>
      <c r="Q7" s="1">
        <v>7.1</v>
      </c>
      <c r="R7" s="1">
        <v>10.4</v>
      </c>
      <c r="S7" s="1">
        <v>12.8</v>
      </c>
      <c r="T7" s="1">
        <v>21.5</v>
      </c>
      <c r="U7" s="1">
        <v>26.1</v>
      </c>
      <c r="V7" s="1">
        <v>10.4</v>
      </c>
      <c r="W7" s="1">
        <v>12.8</v>
      </c>
      <c r="X7" s="1">
        <v>12.8</v>
      </c>
      <c r="Y7" s="45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f t="shared" si="0"/>
        <v>1473.0000000000002</v>
      </c>
      <c r="J8" s="1">
        <v>16.100000000000001</v>
      </c>
      <c r="K8" s="1">
        <v>-1</v>
      </c>
      <c r="L8" s="1">
        <v>-1</v>
      </c>
      <c r="M8" s="1">
        <v>-1</v>
      </c>
      <c r="N8" s="1">
        <v>19.2</v>
      </c>
      <c r="O8" s="1">
        <v>28.3</v>
      </c>
      <c r="P8" s="1">
        <v>32.799999999999997</v>
      </c>
      <c r="Q8" s="1">
        <v>9.4</v>
      </c>
      <c r="R8" s="1">
        <v>13.8</v>
      </c>
      <c r="S8" s="1">
        <v>16.100000000000001</v>
      </c>
      <c r="T8" s="1">
        <v>28.3</v>
      </c>
      <c r="U8" s="1">
        <v>32.799999999999997</v>
      </c>
      <c r="V8" s="1">
        <v>13.8</v>
      </c>
      <c r="W8" s="1">
        <v>16.100000000000001</v>
      </c>
      <c r="X8" s="1">
        <v>16.100000000000001</v>
      </c>
      <c r="Y8" s="45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f t="shared" si="0"/>
        <v>1473.0000000000002</v>
      </c>
      <c r="J9" s="1">
        <v>21.3</v>
      </c>
      <c r="K9" s="1">
        <v>-1</v>
      </c>
      <c r="L9" s="1">
        <v>-1</v>
      </c>
      <c r="M9" s="1">
        <v>-1</v>
      </c>
      <c r="N9" s="1">
        <v>23.6</v>
      </c>
      <c r="O9" s="1">
        <v>35.200000000000003</v>
      </c>
      <c r="P9" s="1">
        <v>43</v>
      </c>
      <c r="Q9" s="1">
        <v>11.6</v>
      </c>
      <c r="R9" s="1">
        <v>17.3</v>
      </c>
      <c r="S9" s="1">
        <v>21.3</v>
      </c>
      <c r="T9" s="1">
        <v>35.200000000000003</v>
      </c>
      <c r="U9" s="1">
        <v>43</v>
      </c>
      <c r="V9" s="1">
        <v>17.3</v>
      </c>
      <c r="W9" s="1">
        <v>21.3</v>
      </c>
      <c r="X9" s="1">
        <v>21.3</v>
      </c>
      <c r="Y9" s="45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f t="shared" si="0"/>
        <v>1473.0000000000002</v>
      </c>
      <c r="J10" s="1">
        <v>29.1</v>
      </c>
      <c r="K10" s="1">
        <v>-1</v>
      </c>
      <c r="L10" s="1">
        <v>-1</v>
      </c>
      <c r="M10" s="1">
        <v>-1</v>
      </c>
      <c r="N10" s="1">
        <v>32.799999999999997</v>
      </c>
      <c r="O10" s="1">
        <v>49</v>
      </c>
      <c r="P10" s="1">
        <v>59</v>
      </c>
      <c r="Q10" s="1">
        <v>16.100000000000001</v>
      </c>
      <c r="R10" s="1">
        <v>24.1</v>
      </c>
      <c r="S10" s="1">
        <v>29.1</v>
      </c>
      <c r="T10" s="1">
        <v>49</v>
      </c>
      <c r="U10" s="1">
        <v>59</v>
      </c>
      <c r="V10" s="1">
        <v>24.1</v>
      </c>
      <c r="W10" s="1">
        <v>29.1</v>
      </c>
      <c r="X10" s="1">
        <v>29.1</v>
      </c>
      <c r="Y10" s="45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f t="shared" si="0"/>
        <v>1473.0000000000002</v>
      </c>
      <c r="J11" s="1">
        <v>33.799999999999997</v>
      </c>
      <c r="K11" s="1">
        <v>-1</v>
      </c>
      <c r="L11" s="1">
        <v>-1</v>
      </c>
      <c r="M11" s="1">
        <v>-1</v>
      </c>
      <c r="N11" s="1">
        <v>37.200000000000003</v>
      </c>
      <c r="O11" s="1">
        <v>55.6</v>
      </c>
      <c r="P11" s="1">
        <v>67.900000000000006</v>
      </c>
      <c r="Q11" s="1">
        <v>18.399999999999999</v>
      </c>
      <c r="R11" s="1">
        <v>27.5</v>
      </c>
      <c r="S11" s="1">
        <v>33.799999999999997</v>
      </c>
      <c r="T11" s="1">
        <v>55.6</v>
      </c>
      <c r="U11" s="1">
        <v>67.900000000000006</v>
      </c>
      <c r="V11" s="1">
        <v>27.5</v>
      </c>
      <c r="W11" s="1">
        <v>33.799999999999997</v>
      </c>
      <c r="X11" s="1">
        <v>33.799999999999997</v>
      </c>
      <c r="Y11" s="45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f t="shared" si="0"/>
        <v>1448.9000000000003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45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f t="shared" si="0"/>
        <v>1421.4000000000003</v>
      </c>
      <c r="J13" s="1">
        <v>40.1</v>
      </c>
      <c r="K13" s="1">
        <v>-1</v>
      </c>
      <c r="L13" s="1">
        <v>-1</v>
      </c>
      <c r="M13" s="1">
        <v>-1</v>
      </c>
      <c r="N13" s="1">
        <v>42.3</v>
      </c>
      <c r="O13" s="1">
        <v>61.5</v>
      </c>
      <c r="P13" s="1">
        <v>76.599999999999994</v>
      </c>
      <c r="Q13" s="1">
        <v>21.9</v>
      </c>
      <c r="R13" s="1">
        <v>32.1</v>
      </c>
      <c r="S13" s="1">
        <v>40.1</v>
      </c>
      <c r="T13" s="1">
        <v>61.5</v>
      </c>
      <c r="U13" s="1">
        <v>76.599999999999994</v>
      </c>
      <c r="V13" s="1">
        <v>32.1</v>
      </c>
      <c r="W13" s="1">
        <v>40.1</v>
      </c>
      <c r="X13" s="1">
        <v>40.1</v>
      </c>
      <c r="Y13" s="45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f t="shared" si="0"/>
        <v>1421.4000000000003</v>
      </c>
      <c r="J14" s="1">
        <v>42.7</v>
      </c>
      <c r="K14" s="1">
        <v>-1</v>
      </c>
      <c r="L14" s="1">
        <v>-1</v>
      </c>
      <c r="M14" s="1">
        <v>-1</v>
      </c>
      <c r="N14" s="1">
        <v>47.7</v>
      </c>
      <c r="O14" s="1">
        <v>70.8</v>
      </c>
      <c r="P14" s="1">
        <v>86.6</v>
      </c>
      <c r="Q14" s="1">
        <v>23.5</v>
      </c>
      <c r="R14" s="1">
        <v>34.700000000000003</v>
      </c>
      <c r="S14" s="1">
        <v>42.7</v>
      </c>
      <c r="T14" s="1">
        <v>70.8</v>
      </c>
      <c r="U14" s="1">
        <v>86.6</v>
      </c>
      <c r="V14" s="1">
        <v>34.700000000000003</v>
      </c>
      <c r="W14" s="1">
        <v>42.7</v>
      </c>
      <c r="X14" s="1">
        <v>42.7</v>
      </c>
      <c r="Y14" s="45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f t="shared" si="0"/>
        <v>1389.3000000000002</v>
      </c>
      <c r="J15" s="1">
        <v>47.9</v>
      </c>
      <c r="K15" s="1">
        <v>-1</v>
      </c>
      <c r="L15" s="1">
        <v>-1</v>
      </c>
      <c r="M15" s="1">
        <v>-1</v>
      </c>
      <c r="N15" s="1">
        <v>54.6</v>
      </c>
      <c r="O15" s="1">
        <v>79.599999999999994</v>
      </c>
      <c r="P15" s="1">
        <v>96.8</v>
      </c>
      <c r="Q15" s="1">
        <v>26.8</v>
      </c>
      <c r="R15" s="1">
        <v>39.299999999999997</v>
      </c>
      <c r="S15" s="1">
        <v>47.9</v>
      </c>
      <c r="T15" s="1">
        <v>79.599999999999994</v>
      </c>
      <c r="U15" s="1">
        <v>96.8</v>
      </c>
      <c r="V15" s="1">
        <v>39.299999999999997</v>
      </c>
      <c r="W15" s="1">
        <v>47.9</v>
      </c>
      <c r="X15" s="1">
        <v>47.9</v>
      </c>
      <c r="Y15" s="45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f t="shared" si="0"/>
        <v>1354.6</v>
      </c>
      <c r="J16" s="1">
        <v>50.1</v>
      </c>
      <c r="K16" s="1">
        <v>-1</v>
      </c>
      <c r="L16" s="1">
        <v>-1</v>
      </c>
      <c r="M16" s="1">
        <v>-1</v>
      </c>
      <c r="N16" s="1">
        <v>56.7</v>
      </c>
      <c r="O16" s="1">
        <v>83.2</v>
      </c>
      <c r="P16" s="1">
        <v>101.3</v>
      </c>
      <c r="Q16" s="1">
        <v>28</v>
      </c>
      <c r="R16" s="1">
        <v>41</v>
      </c>
      <c r="S16" s="1">
        <v>50.1</v>
      </c>
      <c r="T16" s="1">
        <v>83.2</v>
      </c>
      <c r="U16" s="1">
        <v>101.3</v>
      </c>
      <c r="V16" s="1">
        <v>41</v>
      </c>
      <c r="W16" s="1">
        <v>50.1</v>
      </c>
      <c r="X16" s="1">
        <v>50.1</v>
      </c>
      <c r="Y16" s="45">
        <v>45063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f t="shared" si="0"/>
        <v>1315.3</v>
      </c>
      <c r="J17" s="1">
        <v>52.3</v>
      </c>
      <c r="K17" s="1">
        <v>-1</v>
      </c>
      <c r="L17" s="1">
        <v>-1</v>
      </c>
      <c r="M17" s="1">
        <v>-1</v>
      </c>
      <c r="N17" s="1">
        <v>58.3</v>
      </c>
      <c r="O17" s="1">
        <v>85.4</v>
      </c>
      <c r="P17" s="1">
        <v>106.1</v>
      </c>
      <c r="Q17" s="1">
        <v>28.5</v>
      </c>
      <c r="R17" s="1">
        <v>42.3</v>
      </c>
      <c r="S17" s="1">
        <v>52.3</v>
      </c>
      <c r="T17" s="1">
        <v>85.4</v>
      </c>
      <c r="U17" s="1">
        <v>106.1</v>
      </c>
      <c r="V17" s="1">
        <v>42.3</v>
      </c>
      <c r="W17" s="1">
        <v>52.3</v>
      </c>
      <c r="X17" s="1">
        <v>52.3</v>
      </c>
      <c r="Y17" s="45">
        <v>45071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f t="shared" si="0"/>
        <v>1274.3</v>
      </c>
      <c r="J18" s="1">
        <v>53.7</v>
      </c>
      <c r="K18" s="1">
        <v>-1</v>
      </c>
      <c r="L18" s="1">
        <v>-1</v>
      </c>
      <c r="M18" s="1">
        <v>-1</v>
      </c>
      <c r="N18" s="1">
        <v>59</v>
      </c>
      <c r="O18" s="1">
        <v>87.6</v>
      </c>
      <c r="P18" s="1">
        <v>108.8</v>
      </c>
      <c r="Q18" s="1">
        <v>29.1</v>
      </c>
      <c r="R18" s="1">
        <v>43.3</v>
      </c>
      <c r="S18" s="1">
        <v>53.7</v>
      </c>
      <c r="T18" s="1">
        <v>87.6</v>
      </c>
      <c r="U18" s="1">
        <v>108.8</v>
      </c>
      <c r="V18" s="1">
        <v>43.3</v>
      </c>
      <c r="W18" s="1">
        <v>53.7</v>
      </c>
      <c r="X18" s="1">
        <v>53.7</v>
      </c>
      <c r="Y18" s="45">
        <v>45085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f t="shared" si="0"/>
        <v>1232</v>
      </c>
      <c r="J19" s="1">
        <v>57</v>
      </c>
      <c r="K19" s="1">
        <v>-1</v>
      </c>
      <c r="L19" s="1">
        <v>-1</v>
      </c>
      <c r="M19" s="1">
        <v>-1</v>
      </c>
      <c r="N19" s="1">
        <v>62.5</v>
      </c>
      <c r="O19" s="1">
        <v>92.1</v>
      </c>
      <c r="P19" s="1">
        <v>115.1</v>
      </c>
      <c r="Q19" s="1">
        <v>30.7</v>
      </c>
      <c r="R19" s="1">
        <v>45.5</v>
      </c>
      <c r="S19" s="1">
        <v>57</v>
      </c>
      <c r="T19" s="1">
        <v>92.1</v>
      </c>
      <c r="U19" s="1">
        <v>115.1</v>
      </c>
      <c r="V19" s="1">
        <v>45.5</v>
      </c>
      <c r="W19" s="1">
        <v>57</v>
      </c>
      <c r="X19" s="1">
        <v>57</v>
      </c>
      <c r="Y19" s="45">
        <v>45099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f t="shared" si="0"/>
        <v>1188.6999999999998</v>
      </c>
      <c r="J20" s="1">
        <v>61.4</v>
      </c>
      <c r="K20" s="1">
        <v>-1</v>
      </c>
      <c r="L20" s="1">
        <v>-1</v>
      </c>
      <c r="M20" s="1">
        <v>-1</v>
      </c>
      <c r="N20" s="1">
        <v>67.900000000000006</v>
      </c>
      <c r="O20" s="1">
        <v>101.3</v>
      </c>
      <c r="P20" s="1">
        <v>124.4</v>
      </c>
      <c r="Q20" s="1">
        <v>33.799999999999997</v>
      </c>
      <c r="R20" s="1">
        <v>50.1</v>
      </c>
      <c r="S20" s="1">
        <v>61.4</v>
      </c>
      <c r="T20" s="1">
        <v>101.3</v>
      </c>
      <c r="U20" s="1">
        <v>124.4</v>
      </c>
      <c r="V20" s="1">
        <v>50.1</v>
      </c>
      <c r="W20" s="1">
        <v>61.4</v>
      </c>
      <c r="X20" s="1">
        <v>61.4</v>
      </c>
      <c r="Y20" s="45">
        <v>45091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f t="shared" si="0"/>
        <v>1143.1999999999998</v>
      </c>
      <c r="J21" s="1">
        <v>63.6</v>
      </c>
      <c r="K21" s="1">
        <v>-1</v>
      </c>
      <c r="L21" s="1">
        <v>-1</v>
      </c>
      <c r="M21" s="1">
        <v>-1</v>
      </c>
      <c r="N21" s="1">
        <v>70.8</v>
      </c>
      <c r="O21" s="1">
        <v>106.1</v>
      </c>
      <c r="P21" s="1">
        <v>128.6</v>
      </c>
      <c r="Q21" s="1">
        <v>34.700000000000003</v>
      </c>
      <c r="R21" s="1">
        <v>52.3</v>
      </c>
      <c r="S21" s="1">
        <v>63.6</v>
      </c>
      <c r="T21" s="1">
        <v>106.1</v>
      </c>
      <c r="U21" s="1">
        <v>128.6</v>
      </c>
      <c r="V21" s="1">
        <v>52.3</v>
      </c>
      <c r="W21" s="1">
        <v>63.6</v>
      </c>
      <c r="X21" s="1">
        <v>63.6</v>
      </c>
      <c r="Y21" s="45">
        <v>45079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f t="shared" si="0"/>
        <v>1093.0999999999999</v>
      </c>
      <c r="J22" s="1">
        <v>65.900000000000006</v>
      </c>
      <c r="K22" s="1">
        <v>-1</v>
      </c>
      <c r="L22" s="1">
        <v>-1</v>
      </c>
      <c r="M22" s="1">
        <v>-1</v>
      </c>
      <c r="N22" s="1">
        <v>73.900000000000006</v>
      </c>
      <c r="O22" s="1">
        <v>110.3</v>
      </c>
      <c r="P22" s="1">
        <v>133.4</v>
      </c>
      <c r="Q22" s="1">
        <v>36.5</v>
      </c>
      <c r="R22" s="1">
        <v>54.6</v>
      </c>
      <c r="S22" s="1">
        <v>65.900000000000006</v>
      </c>
      <c r="T22" s="1">
        <v>110.3</v>
      </c>
      <c r="U22" s="1">
        <v>133.4</v>
      </c>
      <c r="V22" s="1">
        <v>54.6</v>
      </c>
      <c r="W22" s="1">
        <v>65.900000000000006</v>
      </c>
      <c r="X22" s="1">
        <v>65.900000000000006</v>
      </c>
      <c r="Y22" s="45">
        <v>45075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f t="shared" si="0"/>
        <v>1040.8</v>
      </c>
      <c r="J23" s="1">
        <v>68.7</v>
      </c>
      <c r="K23" s="1">
        <v>-1</v>
      </c>
      <c r="L23" s="1">
        <v>-1</v>
      </c>
      <c r="M23" s="1">
        <v>-1</v>
      </c>
      <c r="N23" s="1">
        <v>76.599999999999994</v>
      </c>
      <c r="O23" s="1">
        <v>115.5</v>
      </c>
      <c r="P23" s="1">
        <v>138.80000000000001</v>
      </c>
      <c r="Q23" s="1">
        <v>38</v>
      </c>
      <c r="R23" s="1">
        <v>57.2</v>
      </c>
      <c r="S23" s="1">
        <v>68.7</v>
      </c>
      <c r="T23" s="1">
        <v>115.5</v>
      </c>
      <c r="U23" s="1">
        <v>138.80000000000001</v>
      </c>
      <c r="V23" s="1">
        <v>57.2</v>
      </c>
      <c r="W23" s="1">
        <v>68.7</v>
      </c>
      <c r="X23" s="1">
        <v>68.7</v>
      </c>
      <c r="Y23" s="45">
        <v>45110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f t="shared" si="0"/>
        <v>986.2</v>
      </c>
      <c r="J24" s="1">
        <v>70.400000000000006</v>
      </c>
      <c r="K24" s="1">
        <v>-1</v>
      </c>
      <c r="L24" s="1">
        <v>-1</v>
      </c>
      <c r="M24" s="1">
        <v>-1</v>
      </c>
      <c r="N24" s="1">
        <v>78.599999999999994</v>
      </c>
      <c r="O24" s="1">
        <v>119.4</v>
      </c>
      <c r="P24" s="1">
        <v>142.5</v>
      </c>
      <c r="Q24" s="1">
        <v>38.700000000000003</v>
      </c>
      <c r="R24" s="1">
        <v>59.2</v>
      </c>
      <c r="S24" s="1">
        <v>70.400000000000006</v>
      </c>
      <c r="T24" s="1">
        <v>119.4</v>
      </c>
      <c r="U24" s="1">
        <v>142.5</v>
      </c>
      <c r="V24" s="1">
        <v>59.2</v>
      </c>
      <c r="W24" s="1">
        <v>70.400000000000006</v>
      </c>
      <c r="X24" s="1">
        <v>70.400000000000006</v>
      </c>
      <c r="Y24" s="45">
        <v>45114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f t="shared" si="0"/>
        <v>929</v>
      </c>
      <c r="J25" s="1">
        <v>72.8</v>
      </c>
      <c r="K25" s="1">
        <v>-1</v>
      </c>
      <c r="L25" s="1">
        <v>-1</v>
      </c>
      <c r="M25" s="1">
        <v>-1</v>
      </c>
      <c r="N25" s="1">
        <v>80.8</v>
      </c>
      <c r="O25" s="1">
        <v>119.4</v>
      </c>
      <c r="P25" s="1">
        <v>146.80000000000001</v>
      </c>
      <c r="Q25" s="1">
        <v>40.1</v>
      </c>
      <c r="R25" s="1">
        <v>59.2</v>
      </c>
      <c r="S25" s="1">
        <v>72.8</v>
      </c>
      <c r="T25" s="1">
        <v>119.4</v>
      </c>
      <c r="U25" s="1">
        <v>146.80000000000001</v>
      </c>
      <c r="V25" s="1">
        <v>59.2</v>
      </c>
      <c r="W25" s="1">
        <v>72.8</v>
      </c>
      <c r="X25" s="1">
        <v>72.8</v>
      </c>
      <c r="Y25" s="45">
        <v>45118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f t="shared" si="0"/>
        <v>869.8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45">
        <v>45142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f t="shared" si="0"/>
        <v>810.6</v>
      </c>
      <c r="J27" s="1">
        <v>75</v>
      </c>
      <c r="K27" s="1">
        <v>-1</v>
      </c>
      <c r="L27" s="1">
        <v>-1</v>
      </c>
      <c r="M27" s="1">
        <v>-1</v>
      </c>
      <c r="N27" s="1">
        <v>83.5</v>
      </c>
      <c r="O27" s="1">
        <v>124.4</v>
      </c>
      <c r="P27" s="1">
        <v>151.5</v>
      </c>
      <c r="Q27" s="1">
        <v>41.3</v>
      </c>
      <c r="R27" s="1">
        <v>61.4</v>
      </c>
      <c r="S27" s="1">
        <v>75</v>
      </c>
      <c r="T27" s="1">
        <v>124.4</v>
      </c>
      <c r="U27" s="1">
        <v>151.5</v>
      </c>
      <c r="V27" s="1">
        <v>61.4</v>
      </c>
      <c r="W27" s="1">
        <v>75</v>
      </c>
      <c r="X27" s="1">
        <v>75</v>
      </c>
      <c r="Y27" s="45">
        <v>45146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f t="shared" si="0"/>
        <v>810.6</v>
      </c>
      <c r="J28" s="1">
        <v>75</v>
      </c>
      <c r="K28" s="1">
        <v>-1</v>
      </c>
      <c r="L28" s="1">
        <v>-1</v>
      </c>
      <c r="M28" s="1">
        <v>-1</v>
      </c>
      <c r="N28" s="1">
        <v>85.4</v>
      </c>
      <c r="O28" s="1">
        <v>124.4</v>
      </c>
      <c r="P28" s="1">
        <v>151.5</v>
      </c>
      <c r="Q28" s="1">
        <v>42.3</v>
      </c>
      <c r="R28" s="1">
        <v>61.4</v>
      </c>
      <c r="S28" s="1">
        <v>75</v>
      </c>
      <c r="T28" s="1">
        <v>124.4</v>
      </c>
      <c r="U28" s="1">
        <v>151.5</v>
      </c>
      <c r="V28" s="1">
        <v>61.4</v>
      </c>
      <c r="W28" s="1">
        <v>75</v>
      </c>
      <c r="X28" s="1">
        <v>75</v>
      </c>
      <c r="Y28" s="45">
        <v>45108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f t="shared" si="0"/>
        <v>749.2</v>
      </c>
      <c r="J29" s="1">
        <v>77.2</v>
      </c>
      <c r="K29" s="1">
        <v>-1</v>
      </c>
      <c r="L29" s="1">
        <v>-1</v>
      </c>
      <c r="M29" s="1">
        <v>-1</v>
      </c>
      <c r="N29" s="1">
        <v>87.6</v>
      </c>
      <c r="O29" s="1">
        <v>128.6</v>
      </c>
      <c r="P29" s="1">
        <v>156.4</v>
      </c>
      <c r="Q29" s="1">
        <v>43.3</v>
      </c>
      <c r="R29" s="1">
        <v>63.6</v>
      </c>
      <c r="S29" s="1">
        <v>77.2</v>
      </c>
      <c r="T29" s="1">
        <v>128.6</v>
      </c>
      <c r="U29" s="1">
        <v>156.4</v>
      </c>
      <c r="V29" s="1">
        <v>63.6</v>
      </c>
      <c r="W29" s="1">
        <v>77.2</v>
      </c>
      <c r="X29" s="1">
        <v>77.2</v>
      </c>
      <c r="Y29" s="45">
        <v>45153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f t="shared" si="0"/>
        <v>687.8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">
        <v>-1</v>
      </c>
      <c r="Y30" s="45">
        <v>45150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f t="shared" si="0"/>
        <v>624.20000000000005</v>
      </c>
      <c r="J31" s="1">
        <v>79.400000000000006</v>
      </c>
      <c r="K31" s="1">
        <v>-1</v>
      </c>
      <c r="L31" s="1">
        <v>-1</v>
      </c>
      <c r="M31" s="1">
        <v>-1</v>
      </c>
      <c r="N31" s="1">
        <v>90.9</v>
      </c>
      <c r="O31" s="1">
        <v>133.4</v>
      </c>
      <c r="P31" s="1">
        <v>160.9</v>
      </c>
      <c r="Q31" s="1">
        <v>45</v>
      </c>
      <c r="R31" s="1">
        <v>65.900000000000006</v>
      </c>
      <c r="S31" s="1">
        <v>79.400000000000006</v>
      </c>
      <c r="T31" s="1">
        <v>133.4</v>
      </c>
      <c r="U31" s="1">
        <v>160.9</v>
      </c>
      <c r="V31" s="1">
        <v>65.900000000000006</v>
      </c>
      <c r="W31" s="1">
        <v>79.400000000000006</v>
      </c>
      <c r="X31" s="1">
        <v>79.400000000000006</v>
      </c>
      <c r="Y31" s="45">
        <v>45157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f t="shared" si="0"/>
        <v>624.20000000000005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">
        <v>-1</v>
      </c>
      <c r="Y32" s="45">
        <v>45143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f t="shared" si="0"/>
        <v>558.30000000000007</v>
      </c>
      <c r="J33" s="1">
        <v>75</v>
      </c>
      <c r="K33" s="1">
        <v>-1</v>
      </c>
      <c r="L33" s="1">
        <v>-1</v>
      </c>
      <c r="M33" s="1">
        <v>-1</v>
      </c>
      <c r="N33" s="1">
        <v>84.6</v>
      </c>
      <c r="O33" s="1">
        <v>124.4</v>
      </c>
      <c r="P33" s="1">
        <v>151.5</v>
      </c>
      <c r="Q33" s="1">
        <v>41.5</v>
      </c>
      <c r="R33" s="1">
        <v>61.4</v>
      </c>
      <c r="S33" s="1">
        <v>75</v>
      </c>
      <c r="T33" s="1">
        <v>124.4</v>
      </c>
      <c r="U33" s="1">
        <v>151.5</v>
      </c>
      <c r="V33" s="1">
        <v>61.4</v>
      </c>
      <c r="W33" s="1">
        <v>75</v>
      </c>
      <c r="X33" s="1">
        <v>75</v>
      </c>
      <c r="Y33" s="45">
        <v>45166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f t="shared" si="0"/>
        <v>558.30000000000007</v>
      </c>
      <c r="J34" s="1">
        <v>79.400000000000006</v>
      </c>
      <c r="K34" s="1">
        <v>-1</v>
      </c>
      <c r="L34" s="1">
        <v>-1</v>
      </c>
      <c r="M34" s="1">
        <v>-1</v>
      </c>
      <c r="N34" s="1">
        <v>87.6</v>
      </c>
      <c r="O34" s="1">
        <v>128.6</v>
      </c>
      <c r="P34" s="1">
        <v>160.9</v>
      </c>
      <c r="Q34" s="1">
        <v>43.3</v>
      </c>
      <c r="R34" s="1">
        <v>63.6</v>
      </c>
      <c r="S34" s="1">
        <v>79.400000000000006</v>
      </c>
      <c r="T34" s="1">
        <v>128.6</v>
      </c>
      <c r="U34" s="1">
        <v>160.9</v>
      </c>
      <c r="V34" s="1">
        <v>63.6</v>
      </c>
      <c r="W34" s="1">
        <v>79.400000000000006</v>
      </c>
      <c r="X34" s="1">
        <v>79.400000000000006</v>
      </c>
      <c r="Y34" s="45">
        <v>45162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f t="shared" si="0"/>
        <v>496.9</v>
      </c>
      <c r="J35" s="1">
        <v>81.8</v>
      </c>
      <c r="K35" s="1">
        <v>-1</v>
      </c>
      <c r="L35" s="1">
        <v>-1</v>
      </c>
      <c r="M35" s="1">
        <v>-1</v>
      </c>
      <c r="N35" s="1">
        <v>89.9</v>
      </c>
      <c r="O35" s="1">
        <v>133.4</v>
      </c>
      <c r="P35" s="1">
        <v>165.3</v>
      </c>
      <c r="Q35" s="1">
        <v>44.5</v>
      </c>
      <c r="R35" s="1">
        <v>65.900000000000006</v>
      </c>
      <c r="S35" s="1">
        <v>81.8</v>
      </c>
      <c r="T35" s="1">
        <v>133.4</v>
      </c>
      <c r="U35" s="1">
        <v>165.3</v>
      </c>
      <c r="V35" s="1">
        <v>65.900000000000006</v>
      </c>
      <c r="W35" s="1">
        <v>81.8</v>
      </c>
      <c r="X35" s="1">
        <v>81.8</v>
      </c>
      <c r="Y35" s="45">
        <v>45160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f t="shared" si="0"/>
        <v>433.3</v>
      </c>
      <c r="J36" s="1">
        <v>86.4</v>
      </c>
      <c r="K36" s="1">
        <v>-1</v>
      </c>
      <c r="L36" s="1">
        <v>-1</v>
      </c>
      <c r="M36" s="1">
        <v>-1</v>
      </c>
      <c r="N36" s="1">
        <v>95.6</v>
      </c>
      <c r="O36" s="1">
        <v>142.5</v>
      </c>
      <c r="P36" s="1">
        <v>174.2</v>
      </c>
      <c r="Q36" s="1">
        <v>47.3</v>
      </c>
      <c r="R36" s="1">
        <v>70.400000000000006</v>
      </c>
      <c r="S36" s="1">
        <v>86.4</v>
      </c>
      <c r="T36" s="1">
        <v>142.5</v>
      </c>
      <c r="U36" s="1">
        <v>174.2</v>
      </c>
      <c r="V36" s="1">
        <v>70.400000000000006</v>
      </c>
      <c r="W36" s="1">
        <v>86.4</v>
      </c>
      <c r="X36" s="1">
        <v>86.4</v>
      </c>
      <c r="Y36" s="45">
        <v>45179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f t="shared" si="0"/>
        <v>367.4</v>
      </c>
      <c r="J37" s="1">
        <v>89</v>
      </c>
      <c r="K37" s="1">
        <v>-1</v>
      </c>
      <c r="L37" s="1">
        <v>-1</v>
      </c>
      <c r="M37" s="1">
        <v>-1</v>
      </c>
      <c r="N37" s="1">
        <v>97.9</v>
      </c>
      <c r="O37" s="1">
        <v>145.5</v>
      </c>
      <c r="P37" s="1">
        <v>179.8</v>
      </c>
      <c r="Q37" s="1">
        <v>48.3</v>
      </c>
      <c r="R37" s="1">
        <v>72</v>
      </c>
      <c r="S37" s="1">
        <v>89</v>
      </c>
      <c r="T37" s="1">
        <v>145.5</v>
      </c>
      <c r="U37" s="1">
        <v>179.8</v>
      </c>
      <c r="V37" s="1">
        <v>72</v>
      </c>
      <c r="W37" s="1">
        <v>89</v>
      </c>
      <c r="X37" s="1">
        <v>89</v>
      </c>
      <c r="Y37" s="45">
        <v>45157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f t="shared" si="0"/>
        <v>297</v>
      </c>
      <c r="J38" s="1">
        <v>90.9</v>
      </c>
      <c r="K38" s="1">
        <v>-1</v>
      </c>
      <c r="L38" s="1">
        <v>-1</v>
      </c>
      <c r="M38" s="1">
        <v>-1</v>
      </c>
      <c r="N38" s="1">
        <v>99.5</v>
      </c>
      <c r="O38" s="1">
        <v>146.80000000000001</v>
      </c>
      <c r="P38" s="1">
        <v>183.5</v>
      </c>
      <c r="Q38" s="1">
        <v>49.1</v>
      </c>
      <c r="R38" s="1">
        <v>72.8</v>
      </c>
      <c r="S38" s="1">
        <v>90.9</v>
      </c>
      <c r="T38" s="1">
        <v>146.80000000000001</v>
      </c>
      <c r="U38" s="1">
        <v>183.5</v>
      </c>
      <c r="V38" s="1">
        <v>72.8</v>
      </c>
      <c r="W38" s="1">
        <v>90.9</v>
      </c>
      <c r="X38" s="1">
        <v>90.9</v>
      </c>
      <c r="Y38" s="45">
        <v>45143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f t="shared" si="0"/>
        <v>225</v>
      </c>
      <c r="J39" s="1">
        <v>93.1</v>
      </c>
      <c r="K39" s="1">
        <v>-1</v>
      </c>
      <c r="L39" s="1">
        <v>-1</v>
      </c>
      <c r="M39" s="1">
        <v>-1</v>
      </c>
      <c r="N39" s="1">
        <v>102.6</v>
      </c>
      <c r="O39" s="1">
        <v>151.5</v>
      </c>
      <c r="P39" s="1">
        <v>188.1</v>
      </c>
      <c r="Q39" s="1">
        <v>50.6</v>
      </c>
      <c r="R39" s="1">
        <v>75</v>
      </c>
      <c r="S39" s="1">
        <v>93.1</v>
      </c>
      <c r="T39" s="1">
        <v>151.5</v>
      </c>
      <c r="U39" s="1">
        <v>188.1</v>
      </c>
      <c r="V39" s="1">
        <v>75</v>
      </c>
      <c r="W39" s="1">
        <v>93.1</v>
      </c>
      <c r="X39" s="1">
        <v>93.1</v>
      </c>
      <c r="Y39" s="45">
        <v>45166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f t="shared" si="0"/>
        <v>152.19999999999999</v>
      </c>
      <c r="J40" s="1">
        <v>93.1</v>
      </c>
      <c r="K40" s="1">
        <v>-1</v>
      </c>
      <c r="L40" s="1">
        <v>-1</v>
      </c>
      <c r="M40" s="1">
        <v>-1</v>
      </c>
      <c r="N40" s="1">
        <v>104.5</v>
      </c>
      <c r="O40" s="1">
        <v>156.4</v>
      </c>
      <c r="P40" s="1">
        <v>188.1</v>
      </c>
      <c r="Q40" s="1">
        <v>51.8</v>
      </c>
      <c r="R40" s="1">
        <v>77.2</v>
      </c>
      <c r="S40" s="1">
        <v>93.1</v>
      </c>
      <c r="T40" s="1">
        <v>156.4</v>
      </c>
      <c r="U40" s="1">
        <v>188.1</v>
      </c>
      <c r="V40" s="1">
        <v>77.2</v>
      </c>
      <c r="W40" s="1">
        <v>93.1</v>
      </c>
      <c r="X40" s="1">
        <v>93.1</v>
      </c>
      <c r="Y40" s="45">
        <v>45162</v>
      </c>
    </row>
  </sheetData>
  <conditionalFormatting sqref="A1:A1048576">
    <cfRule type="duplicateValues" dxfId="7" priority="8"/>
  </conditionalFormatting>
  <conditionalFormatting sqref="B1:B1048576">
    <cfRule type="duplicateValues" dxfId="6" priority="7"/>
  </conditionalFormatting>
  <conditionalFormatting sqref="G2:Q40">
    <cfRule type="cellIs" dxfId="5" priority="3" operator="equal">
      <formula>0</formula>
    </cfRule>
    <cfRule type="cellIs" dxfId="4" priority="4" operator="equal">
      <formula>-1</formula>
    </cfRule>
    <cfRule type="cellIs" dxfId="3" priority="5" operator="equal">
      <formula>-1</formula>
    </cfRule>
    <cfRule type="cellIs" dxfId="2" priority="6" operator="lessThan">
      <formula>-1</formula>
    </cfRule>
  </conditionalFormatting>
  <conditionalFormatting sqref="G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137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>
        <f>SUMIF(H2:H40,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H30" sqref="H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126</v>
      </c>
    </row>
    <row r="2" spans="1:7" s="40" customFormat="1" ht="21" x14ac:dyDescent="0.4">
      <c r="B2" s="40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124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IF($A6&lt;&gt;"", INDEX(Dataset!G:G, MATCH($A6, Dataset!A:A, 0)), "")</f>
        <v>2.7</v>
      </c>
      <c r="C6" s="12">
        <f>IF($A6&lt;&gt;"", INDEX(Dataset!O:O, MATCH($A6, Dataset!A:A, 0)), "")</f>
        <v>7.6</v>
      </c>
      <c r="D6" s="12">
        <f>IF($A6&lt;&gt;"", INDEX(Dataset!S:S, MATCH($A6, Dataset!A:A, 0)), "")</f>
        <v>4.2</v>
      </c>
      <c r="E6" s="12">
        <f>IF($A6&lt;&gt;"", INDEX(Dataset!U:U, MATCH($A6, Dataset!A:A, 0)), "")</f>
        <v>8.9</v>
      </c>
      <c r="F6" s="8">
        <f>IF($A6&lt;&gt;"", INDEX(Dataset!W:W, MATCH($A6, Dataset!A:A, 0)), "")</f>
        <v>4.2</v>
      </c>
    </row>
    <row r="7" spans="1:7" ht="14.4" x14ac:dyDescent="0.3">
      <c r="A7" s="7" t="s">
        <v>4</v>
      </c>
      <c r="B7" s="12">
        <f>IF($A7&lt;&gt;"", INDEX(Dataset!G:G, MATCH($A7, Dataset!A:A, 0)), "")</f>
        <v>2.7</v>
      </c>
      <c r="C7" s="12">
        <f>IF($A7&lt;&gt;"", INDEX(Dataset!O:O, MATCH($A7, Dataset!A:A, 0)), "")</f>
        <v>7.6</v>
      </c>
      <c r="D7" s="12">
        <f>IF($A7&lt;&gt;"", INDEX(Dataset!S:S, MATCH($A7, Dataset!A:A, 0)), "")</f>
        <v>4.2</v>
      </c>
      <c r="E7" s="12">
        <f>IF($A7&lt;&gt;"", INDEX(Dataset!U:U, MATCH($A7, Dataset!A:A, 0)), "")</f>
        <v>8.9</v>
      </c>
      <c r="F7" s="8">
        <f>IF($A7&lt;&gt;"", INDEX(Dataset!W:W, MATCH($A7, Dataset!A:A, 0)), "")</f>
        <v>4.2</v>
      </c>
    </row>
    <row r="8" spans="1:7" ht="14.4" x14ac:dyDescent="0.3">
      <c r="A8" s="7" t="s">
        <v>7</v>
      </c>
      <c r="B8" s="12">
        <f>IF($A8&lt;&gt;"", INDEX(Dataset!G:G, MATCH($A8, Dataset!A:A, 0)), "")</f>
        <v>3.6</v>
      </c>
      <c r="C8" s="12">
        <f>IF($A8&lt;&gt;"", INDEX(Dataset!O:O, MATCH($A8, Dataset!A:A, 0)), "")</f>
        <v>11.1</v>
      </c>
      <c r="D8" s="12">
        <f>IF($A8&lt;&gt;"", INDEX(Dataset!S:S, MATCH($A8, Dataset!A:A, 0)), "")</f>
        <v>5.8</v>
      </c>
      <c r="E8" s="12">
        <f>IF($A8&lt;&gt;"", INDEX(Dataset!U:U, MATCH($A8, Dataset!A:A, 0)), "")</f>
        <v>12.2</v>
      </c>
      <c r="F8" s="8">
        <f>IF($A8&lt;&gt;"", INDEX(Dataset!W:W, MATCH($A8, Dataset!A:A, 0)), "")</f>
        <v>5.8</v>
      </c>
    </row>
    <row r="9" spans="1:7" ht="14.4" x14ac:dyDescent="0.3">
      <c r="A9" s="7" t="s">
        <v>8</v>
      </c>
      <c r="B9" s="12">
        <f>IF($A9&lt;&gt;"", INDEX(Dataset!G:G, MATCH($A9, Dataset!A:A, 0)), "")</f>
        <v>4.9000000000000004</v>
      </c>
      <c r="C9" s="12">
        <f>IF($A9&lt;&gt;"", INDEX(Dataset!O:O, MATCH($A9, Dataset!A:A, 0)), "")</f>
        <v>13.3</v>
      </c>
      <c r="D9" s="12">
        <f>IF($A9&lt;&gt;"", INDEX(Dataset!S:S, MATCH($A9, Dataset!A:A, 0)), "")</f>
        <v>8.1</v>
      </c>
      <c r="E9" s="12">
        <f>IF($A9&lt;&gt;"", INDEX(Dataset!U:U, MATCH($A9, Dataset!A:A, 0)), "")</f>
        <v>17</v>
      </c>
      <c r="F9" s="8">
        <f>IF($A9&lt;&gt;"", INDEX(Dataset!W:W, MATCH($A9, Dataset!A:A, 0)), "")</f>
        <v>8.1</v>
      </c>
    </row>
    <row r="10" spans="1:7" ht="14.4" x14ac:dyDescent="0.3">
      <c r="A10" s="7" t="s">
        <v>11</v>
      </c>
      <c r="B10" s="12">
        <f>IF($A10&lt;&gt;"", INDEX(Dataset!G:G, MATCH($A10, Dataset!A:A, 0)), "")</f>
        <v>9.4</v>
      </c>
      <c r="C10" s="12">
        <f>IF($A10&lt;&gt;"", INDEX(Dataset!O:O, MATCH($A10, Dataset!A:A, 0)), "")</f>
        <v>28.3</v>
      </c>
      <c r="D10" s="12">
        <f>IF($A10&lt;&gt;"", INDEX(Dataset!S:S, MATCH($A10, Dataset!A:A, 0)), "")</f>
        <v>16.100000000000001</v>
      </c>
      <c r="E10" s="12">
        <f>IF($A10&lt;&gt;"", INDEX(Dataset!U:U, MATCH($A10, Dataset!A:A, 0)), "")</f>
        <v>32.799999999999997</v>
      </c>
      <c r="F10" s="8">
        <f>IF($A10&lt;&gt;"", INDEX(Dataset!W:W, MATCH($A10, Dataset!A:A, 0)), "")</f>
        <v>16.100000000000001</v>
      </c>
    </row>
    <row r="11" spans="1:7" ht="14.4" x14ac:dyDescent="0.3">
      <c r="A11" s="7" t="s">
        <v>12</v>
      </c>
      <c r="B11" s="12">
        <f>IF($A11&lt;&gt;"", INDEX(Dataset!G:G, MATCH($A11, Dataset!A:A, 0)), "")</f>
        <v>11.6</v>
      </c>
      <c r="C11" s="12">
        <f>IF($A11&lt;&gt;"", INDEX(Dataset!O:O, MATCH($A11, Dataset!A:A, 0)), "")</f>
        <v>35.200000000000003</v>
      </c>
      <c r="D11" s="12">
        <f>IF($A11&lt;&gt;"", INDEX(Dataset!S:S, MATCH($A11, Dataset!A:A, 0)), "")</f>
        <v>21.3</v>
      </c>
      <c r="E11" s="12">
        <f>IF($A11&lt;&gt;"", INDEX(Dataset!U:U, MATCH($A11, Dataset!A:A, 0)), "")</f>
        <v>43</v>
      </c>
      <c r="F11" s="8">
        <f>IF($A11&lt;&gt;"", INDEX(Dataset!W:W, MATCH($A11, Dataset!A:A, 0)), "")</f>
        <v>21.3</v>
      </c>
    </row>
    <row r="12" spans="1:7" ht="14.4" x14ac:dyDescent="0.3">
      <c r="A12" s="7" t="s">
        <v>14</v>
      </c>
      <c r="B12" s="12">
        <f>IF($A12&lt;&gt;"", INDEX(Dataset!G:G, MATCH($A12, Dataset!A:A, 0)), "")</f>
        <v>18.399999999999999</v>
      </c>
      <c r="C12" s="12">
        <f>IF($A12&lt;&gt;"", INDEX(Dataset!O:O, MATCH($A12, Dataset!A:A, 0)), "")</f>
        <v>55.6</v>
      </c>
      <c r="D12" s="12">
        <f>IF($A12&lt;&gt;"", INDEX(Dataset!S:S, MATCH($A12, Dataset!A:A, 0)), "")</f>
        <v>33.799999999999997</v>
      </c>
      <c r="E12" s="12">
        <f>IF($A12&lt;&gt;"", INDEX(Dataset!U:U, MATCH($A12, Dataset!A:A, 0)), "")</f>
        <v>67.900000000000006</v>
      </c>
      <c r="F12" s="8">
        <f>IF($A12&lt;&gt;"", INDEX(Dataset!W:W, MATCH($A12, Dataset!A:A, 0)), "")</f>
        <v>33.799999999999997</v>
      </c>
    </row>
    <row r="13" spans="1:7" ht="14.4" x14ac:dyDescent="0.3">
      <c r="A13" s="7" t="s">
        <v>15</v>
      </c>
      <c r="B13" s="12">
        <f>IF($A13&lt;&gt;"", INDEX(Dataset!G:G, MATCH($A13, Dataset!A:A, 0)), "")</f>
        <v>0</v>
      </c>
      <c r="C13" s="12">
        <f>IF($A13&lt;&gt;"", INDEX(Dataset!O:O, MATCH($A13, Dataset!A:A, 0)), "")</f>
        <v>0</v>
      </c>
      <c r="D13" s="12">
        <f>IF($A13&lt;&gt;"", INDEX(Dataset!S:S, MATCH($A13, Dataset!A:A, 0)), "")</f>
        <v>0</v>
      </c>
      <c r="E13" s="12">
        <f>IF($A13&lt;&gt;"", INDEX(Dataset!U:U, MATCH($A13, Dataset!A:A, 0)), "")</f>
        <v>0</v>
      </c>
      <c r="F13" s="8">
        <f>IF($A13&lt;&gt;"", INDEX(Dataset!W:W, MATCH($A13, Dataset!A:A, 0)), "")</f>
        <v>0</v>
      </c>
    </row>
    <row r="14" spans="1:7" ht="14.4" x14ac:dyDescent="0.3">
      <c r="A14" s="7" t="s">
        <v>16</v>
      </c>
      <c r="B14" s="12">
        <f>IF($A14&lt;&gt;"", INDEX(Dataset!G:G, MATCH($A14, Dataset!A:A, 0)), "")</f>
        <v>21.9</v>
      </c>
      <c r="C14" s="12">
        <f>IF($A14&lt;&gt;"", INDEX(Dataset!O:O, MATCH($A14, Dataset!A:A, 0)), "")</f>
        <v>61.5</v>
      </c>
      <c r="D14" s="12">
        <f>IF($A14&lt;&gt;"", INDEX(Dataset!S:S, MATCH($A14, Dataset!A:A, 0)), "")</f>
        <v>40.1</v>
      </c>
      <c r="E14" s="12">
        <f>IF($A14&lt;&gt;"", INDEX(Dataset!U:U, MATCH($A14, Dataset!A:A, 0)), "")</f>
        <v>76.599999999999994</v>
      </c>
      <c r="F14" s="8">
        <f>IF($A14&lt;&gt;"", INDEX(Dataset!W:W, MATCH($A14, Dataset!A:A, 0)), "")</f>
        <v>40.1</v>
      </c>
    </row>
    <row r="15" spans="1:7" ht="14.4" x14ac:dyDescent="0.3">
      <c r="A15" s="7" t="s">
        <v>18</v>
      </c>
      <c r="B15" s="12">
        <f>IF($A15&lt;&gt;"", INDEX(Dataset!G:G, MATCH($A15, Dataset!A:A, 0)), "")</f>
        <v>26.8</v>
      </c>
      <c r="C15" s="12">
        <f>IF($A15&lt;&gt;"", INDEX(Dataset!O:O, MATCH($A15, Dataset!A:A, 0)), "")</f>
        <v>79.599999999999994</v>
      </c>
      <c r="D15" s="12">
        <f>IF($A15&lt;&gt;"", INDEX(Dataset!S:S, MATCH($A15, Dataset!A:A, 0)), "")</f>
        <v>47.9</v>
      </c>
      <c r="E15" s="12">
        <f>IF($A15&lt;&gt;"", INDEX(Dataset!U:U, MATCH($A15, Dataset!A:A, 0)), "")</f>
        <v>96.8</v>
      </c>
      <c r="F15" s="8">
        <f>IF($A15&lt;&gt;"", INDEX(Dataset!W:W, MATCH($A15, Dataset!A:A, 0)), "")</f>
        <v>47.9</v>
      </c>
    </row>
    <row r="16" spans="1:7" ht="14.4" x14ac:dyDescent="0.3">
      <c r="A16" s="7" t="s">
        <v>20</v>
      </c>
      <c r="B16" s="12">
        <f>IF($A16&lt;&gt;"", INDEX(Dataset!G:G, MATCH($A16, Dataset!A:A, 0)), "")</f>
        <v>28.5</v>
      </c>
      <c r="C16" s="12">
        <f>IF($A16&lt;&gt;"", INDEX(Dataset!O:O, MATCH($A16, Dataset!A:A, 0)), "")</f>
        <v>85.4</v>
      </c>
      <c r="D16" s="12">
        <f>IF($A16&lt;&gt;"", INDEX(Dataset!S:S, MATCH($A16, Dataset!A:A, 0)), "")</f>
        <v>52.3</v>
      </c>
      <c r="E16" s="12">
        <f>IF($A16&lt;&gt;"", INDEX(Dataset!U:U, MATCH($A16, Dataset!A:A, 0)), "")</f>
        <v>106.1</v>
      </c>
      <c r="F16" s="8">
        <f>IF($A16&lt;&gt;"", INDEX(Dataset!W:W, MATCH($A16, Dataset!A:A, 0)), "")</f>
        <v>52.3</v>
      </c>
    </row>
    <row r="17" spans="1:6" ht="14.4" x14ac:dyDescent="0.3">
      <c r="A17" s="7" t="s">
        <v>22</v>
      </c>
      <c r="B17" s="12">
        <f>IF($A17&lt;&gt;"", INDEX(Dataset!G:G, MATCH($A17, Dataset!A:A, 0)), "")</f>
        <v>30.7</v>
      </c>
      <c r="C17" s="12">
        <f>IF($A17&lt;&gt;"", INDEX(Dataset!O:O, MATCH($A17, Dataset!A:A, 0)), "")</f>
        <v>92.1</v>
      </c>
      <c r="D17" s="12">
        <f>IF($A17&lt;&gt;"", INDEX(Dataset!S:S, MATCH($A17, Dataset!A:A, 0)), "")</f>
        <v>57</v>
      </c>
      <c r="E17" s="12">
        <f>IF($A17&lt;&gt;"", INDEX(Dataset!U:U, MATCH($A17, Dataset!A:A, 0)), "")</f>
        <v>115.1</v>
      </c>
      <c r="F17" s="8">
        <f>IF($A17&lt;&gt;"", INDEX(Dataset!W:W, MATCH($A17, Dataset!A:A, 0)), "")</f>
        <v>57</v>
      </c>
    </row>
    <row r="18" spans="1:6" ht="14.4" x14ac:dyDescent="0.3">
      <c r="A18" s="7" t="s">
        <v>23</v>
      </c>
      <c r="B18" s="12">
        <f>IF($A18&lt;&gt;"", INDEX(Dataset!G:G, MATCH($A18, Dataset!A:A, 0)), "")</f>
        <v>33.799999999999997</v>
      </c>
      <c r="C18" s="12">
        <f>IF($A18&lt;&gt;"", INDEX(Dataset!O:O, MATCH($A18, Dataset!A:A, 0)), "")</f>
        <v>101.3</v>
      </c>
      <c r="D18" s="12">
        <f>IF($A18&lt;&gt;"", INDEX(Dataset!S:S, MATCH($A18, Dataset!A:A, 0)), "")</f>
        <v>61.4</v>
      </c>
      <c r="E18" s="12">
        <f>IF($A18&lt;&gt;"", INDEX(Dataset!U:U, MATCH($A18, Dataset!A:A, 0)), "")</f>
        <v>124.4</v>
      </c>
      <c r="F18" s="8">
        <f>IF($A18&lt;&gt;"", INDEX(Dataset!W:W, MATCH($A18, Dataset!A:A, 0)), "")</f>
        <v>61.4</v>
      </c>
    </row>
    <row r="19" spans="1:6" ht="14.4" x14ac:dyDescent="0.3">
      <c r="A19" s="7" t="s">
        <v>24</v>
      </c>
      <c r="B19" s="12">
        <f>IF($A19&lt;&gt;"", INDEX(Dataset!G:G, MATCH($A19, Dataset!A:A, 0)), "")</f>
        <v>34.700000000000003</v>
      </c>
      <c r="C19" s="12">
        <f>IF($A19&lt;&gt;"", INDEX(Dataset!O:O, MATCH($A19, Dataset!A:A, 0)), "")</f>
        <v>106.1</v>
      </c>
      <c r="D19" s="12">
        <f>IF($A19&lt;&gt;"", INDEX(Dataset!S:S, MATCH($A19, Dataset!A:A, 0)), "")</f>
        <v>63.6</v>
      </c>
      <c r="E19" s="12">
        <f>IF($A19&lt;&gt;"", INDEX(Dataset!U:U, MATCH($A19, Dataset!A:A, 0)), "")</f>
        <v>128.6</v>
      </c>
      <c r="F19" s="8">
        <f>IF($A19&lt;&gt;"", INDEX(Dataset!W:W, MATCH($A19, Dataset!A:A, 0)), "")</f>
        <v>63.6</v>
      </c>
    </row>
    <row r="20" spans="1:6" ht="14.4" x14ac:dyDescent="0.3">
      <c r="A20" s="7" t="s">
        <v>28</v>
      </c>
      <c r="B20" s="12">
        <f>IF($A20&lt;&gt;"", INDEX(Dataset!G:G, MATCH($A20, Dataset!A:A, 0)), "")</f>
        <v>0</v>
      </c>
      <c r="C20" s="12">
        <f>IF($A20&lt;&gt;"", INDEX(Dataset!O:O, MATCH($A20, Dataset!A:A, 0)), "")</f>
        <v>0</v>
      </c>
      <c r="D20" s="12">
        <f>IF($A20&lt;&gt;"", INDEX(Dataset!S:S, MATCH($A20, Dataset!A:A, 0)), "")</f>
        <v>0</v>
      </c>
      <c r="E20" s="12">
        <f>IF($A20&lt;&gt;"", INDEX(Dataset!U:U, MATCH($A20, Dataset!A:A, 0)), "")</f>
        <v>0</v>
      </c>
      <c r="F20" s="8">
        <f>IF($A20&lt;&gt;"", INDEX(Dataset!W:W, MATCH($A20, Dataset!A:A, 0)), "")</f>
        <v>0</v>
      </c>
    </row>
    <row r="21" spans="1:6" ht="14.4" x14ac:dyDescent="0.3">
      <c r="A21" s="7" t="s">
        <v>57</v>
      </c>
      <c r="B21" s="12">
        <f>IF($A21&lt;&gt;"", INDEX(Dataset!G:G, MATCH($A21, Dataset!A:A, 0)), "")</f>
        <v>41.3</v>
      </c>
      <c r="C21" s="12">
        <f>IF($A21&lt;&gt;"", INDEX(Dataset!O:O, MATCH($A21, Dataset!A:A, 0)), "")</f>
        <v>124.4</v>
      </c>
      <c r="D21" s="12">
        <f>IF($A21&lt;&gt;"", INDEX(Dataset!S:S, MATCH($A21, Dataset!A:A, 0)), "")</f>
        <v>75</v>
      </c>
      <c r="E21" s="12">
        <f>IF($A21&lt;&gt;"", INDEX(Dataset!U:U, MATCH($A21, Dataset!A:A, 0)), "")</f>
        <v>151.5</v>
      </c>
      <c r="F21" s="8">
        <f>IF($A21&lt;&gt;"", INDEX(Dataset!W:W, MATCH($A21, Dataset!A:A, 0)), "")</f>
        <v>75</v>
      </c>
    </row>
    <row r="22" spans="1:6" ht="14.4" x14ac:dyDescent="0.3">
      <c r="A22" s="7" t="s">
        <v>58</v>
      </c>
      <c r="B22" s="12">
        <f>IF($A22&lt;&gt;"", INDEX(Dataset!G:G, MATCH($A22, Dataset!A:A, 0)), "")</f>
        <v>-1</v>
      </c>
      <c r="C22" s="12">
        <f>IF($A22&lt;&gt;"", INDEX(Dataset!O:O, MATCH($A22, Dataset!A:A, 0)), "")</f>
        <v>-1</v>
      </c>
      <c r="D22" s="12">
        <f>IF($A22&lt;&gt;"", INDEX(Dataset!S:S, MATCH($A22, Dataset!A:A, 0)), "")</f>
        <v>-1</v>
      </c>
      <c r="E22" s="12">
        <f>IF($A22&lt;&gt;"", INDEX(Dataset!U:U, MATCH($A22, Dataset!A:A, 0)), "")</f>
        <v>-1</v>
      </c>
      <c r="F22" s="8">
        <f>IF($A22&lt;&gt;"", INDEX(Dataset!W:W, MATCH($A22, Dataset!A:A, 0)), "")</f>
        <v>-1</v>
      </c>
    </row>
    <row r="23" spans="1:6" ht="14.4" x14ac:dyDescent="0.3">
      <c r="A23" s="7" t="s">
        <v>31</v>
      </c>
      <c r="B23" s="12">
        <f>IF($A23&lt;&gt;"", INDEX(Dataset!G:G, MATCH($A23, Dataset!A:A, 0)), "")</f>
        <v>45</v>
      </c>
      <c r="C23" s="12">
        <f>IF($A23&lt;&gt;"", INDEX(Dataset!O:O, MATCH($A23, Dataset!A:A, 0)), "")</f>
        <v>133.4</v>
      </c>
      <c r="D23" s="12">
        <f>IF($A23&lt;&gt;"", INDEX(Dataset!S:S, MATCH($A23, Dataset!A:A, 0)), "")</f>
        <v>79.400000000000006</v>
      </c>
      <c r="E23" s="12">
        <f>IF($A23&lt;&gt;"", INDEX(Dataset!U:U, MATCH($A23, Dataset!A:A, 0)), "")</f>
        <v>160.9</v>
      </c>
      <c r="F23" s="8">
        <f>IF($A23&lt;&gt;"", INDEX(Dataset!W:W, MATCH($A23, Dataset!A:A, 0)), "")</f>
        <v>79.400000000000006</v>
      </c>
    </row>
    <row r="24" spans="1:6" ht="14.4" x14ac:dyDescent="0.3">
      <c r="A24" s="7" t="s">
        <v>32</v>
      </c>
      <c r="B24" s="12">
        <f>IF($A24&lt;&gt;"", INDEX(Dataset!G:G, MATCH($A24, Dataset!A:A, 0)), "")</f>
        <v>-1</v>
      </c>
      <c r="C24" s="12">
        <f>IF($A24&lt;&gt;"", INDEX(Dataset!O:O, MATCH($A24, Dataset!A:A, 0)), "")</f>
        <v>-1</v>
      </c>
      <c r="D24" s="12">
        <f>IF($A24&lt;&gt;"", INDEX(Dataset!S:S, MATCH($A24, Dataset!A:A, 0)), "")</f>
        <v>-1</v>
      </c>
      <c r="E24" s="12">
        <f>IF($A24&lt;&gt;"", INDEX(Dataset!U:U, MATCH($A24, Dataset!A:A, 0)), "")</f>
        <v>-1</v>
      </c>
      <c r="F24" s="8">
        <f>IF($A24&lt;&gt;"", INDEX(Dataset!W:W, MATCH($A24, Dataset!A:A, 0)), "")</f>
        <v>-1</v>
      </c>
    </row>
    <row r="25" spans="1:6" ht="14.4" x14ac:dyDescent="0.3">
      <c r="A25" s="7" t="s">
        <v>34</v>
      </c>
      <c r="B25" s="12">
        <f>IF($A25&lt;&gt;"", INDEX(Dataset!G:G, MATCH($A25, Dataset!A:A, 0)), "")</f>
        <v>43.3</v>
      </c>
      <c r="C25" s="12">
        <f>IF($A25&lt;&gt;"", INDEX(Dataset!O:O, MATCH($A25, Dataset!A:A, 0)), "")</f>
        <v>128.6</v>
      </c>
      <c r="D25" s="12">
        <f>IF($A25&lt;&gt;"", INDEX(Dataset!S:S, MATCH($A25, Dataset!A:A, 0)), "")</f>
        <v>79.400000000000006</v>
      </c>
      <c r="E25" s="12">
        <f>IF($A25&lt;&gt;"", INDEX(Dataset!U:U, MATCH($A25, Dataset!A:A, 0)), "")</f>
        <v>160.9</v>
      </c>
      <c r="F25" s="8">
        <f>IF($A25&lt;&gt;"", INDEX(Dataset!W:W, MATCH($A25, Dataset!A:A, 0)), "")</f>
        <v>79.400000000000006</v>
      </c>
    </row>
    <row r="26" spans="1:6" ht="14.4" x14ac:dyDescent="0.3">
      <c r="A26" s="7" t="s">
        <v>37</v>
      </c>
      <c r="B26" s="12">
        <f>IF($A26&lt;&gt;"", INDEX(Dataset!G:G, MATCH($A26, Dataset!A:A, 0)), "")</f>
        <v>49.1</v>
      </c>
      <c r="C26" s="12">
        <f>IF($A26&lt;&gt;"", INDEX(Dataset!O:O, MATCH($A26, Dataset!A:A, 0)), "")</f>
        <v>146.80000000000001</v>
      </c>
      <c r="D26" s="12">
        <f>IF($A26&lt;&gt;"", INDEX(Dataset!S:S, MATCH($A26, Dataset!A:A, 0)), "")</f>
        <v>90.9</v>
      </c>
      <c r="E26" s="12">
        <f>IF($A26&lt;&gt;"", INDEX(Dataset!U:U, MATCH($A26, Dataset!A:A, 0)), "")</f>
        <v>183.5</v>
      </c>
      <c r="F26" s="8">
        <f>IF($A26&lt;&gt;"", INDEX(Dataset!W:W, MATCH($A26, Dataset!A:A, 0)), "")</f>
        <v>90.9</v>
      </c>
    </row>
    <row r="27" spans="1:6" ht="14.4" x14ac:dyDescent="0.3">
      <c r="A27" s="7" t="s">
        <v>39</v>
      </c>
      <c r="B27" s="12">
        <f>IF($A27&lt;&gt;"", INDEX(Dataset!G:G, MATCH($A27, Dataset!A:A, 0)), "")</f>
        <v>51.8</v>
      </c>
      <c r="C27" s="12">
        <f>IF($A27&lt;&gt;"", INDEX(Dataset!O:O, MATCH($A27, Dataset!A:A, 0)), "")</f>
        <v>156.4</v>
      </c>
      <c r="D27" s="12">
        <f>IF($A27&lt;&gt;"", INDEX(Dataset!S:S, MATCH($A27, Dataset!A:A, 0)), "")</f>
        <v>93.1</v>
      </c>
      <c r="E27" s="12">
        <f>IF($A27&lt;&gt;"", INDEX(Dataset!U:U, MATCH($A27, Dataset!A:A, 0)), "")</f>
        <v>188.1</v>
      </c>
      <c r="F27" s="8">
        <f>IF($A27&lt;&gt;"", INDEX(Dataset!W:W, MATCH($A27, Dataset!A:A, 0)), "")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 t="shared" ref="D30:F30" si="2">AVERAGE(D6:D27)</f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9" zoomScaleNormal="100" workbookViewId="0">
      <selection activeCell="C7" sqref="C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135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115</v>
      </c>
      <c r="B6" s="1" t="s">
        <v>178</v>
      </c>
    </row>
    <row r="7" spans="1:10" ht="18" x14ac:dyDescent="0.35">
      <c r="A7" s="42"/>
    </row>
    <row r="9" spans="1:10" ht="23.4" x14ac:dyDescent="0.45">
      <c r="A9" s="18" t="s">
        <v>127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124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112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139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3">
      <c r="A18" s="7" t="s">
        <v>140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3">
      <c r="A19" s="7" t="s">
        <v>141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3">
      <c r="A20" s="7" t="s">
        <v>142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3">
      <c r="A21" s="7" t="s">
        <v>143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3">
      <c r="A22" s="7" t="s">
        <v>144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3">
      <c r="A23" s="7" t="s">
        <v>145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3">
      <c r="A24" s="7" t="s">
        <v>146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3">
      <c r="A25" s="7" t="s">
        <v>147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3">
      <c r="A26" s="7" t="s">
        <v>148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3">
      <c r="A27" s="7" t="s">
        <v>149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3">
      <c r="A28" s="7" t="s">
        <v>150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3">
      <c r="A29" s="7" t="s">
        <v>151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3">
      <c r="A30" s="7" t="s">
        <v>152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3">
      <c r="A31" s="7" t="s">
        <v>153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3">
      <c r="A32" s="7" t="s">
        <v>154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3">
      <c r="A33" s="7" t="s">
        <v>155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3">
      <c r="A34" s="7" t="s">
        <v>156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3">
      <c r="A35" s="7" t="s">
        <v>157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3">
      <c r="A36" s="7" t="s">
        <v>158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3">
      <c r="A37" s="7" t="s">
        <v>159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3">
      <c r="A38" s="7" t="s">
        <v>160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3">
      <c r="A39" s="7" t="s">
        <v>161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3">
      <c r="A40" s="7" t="s">
        <v>162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3">
      <c r="A41" s="7" t="s">
        <v>163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3">
      <c r="A42" s="7" t="s">
        <v>164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3">
      <c r="A43" s="7" t="s">
        <v>165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3">
      <c r="A44" s="7" t="s">
        <v>166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3">
      <c r="A45" s="7" t="s">
        <v>167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3">
      <c r="A46" s="7" t="s">
        <v>168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3">
      <c r="A47" s="7" t="s">
        <v>169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3">
      <c r="A48" s="7" t="s">
        <v>170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3">
      <c r="A49" s="7" t="s">
        <v>171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3">
      <c r="A50" s="7" t="s">
        <v>172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3">
      <c r="A51" s="7" t="s">
        <v>173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3">
      <c r="A52" s="7" t="s">
        <v>174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3">
      <c r="A53" s="7" t="s">
        <v>175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3">
      <c r="A54" s="7" t="s">
        <v>176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G16" sqref="G1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/>
    </row>
    <row r="2" spans="1:4" ht="18" x14ac:dyDescent="0.35">
      <c r="B2" s="39" t="s">
        <v>128</v>
      </c>
    </row>
    <row r="5" spans="1:4" ht="14.4" x14ac:dyDescent="0.3">
      <c r="B5" s="1" t="s">
        <v>113</v>
      </c>
    </row>
    <row r="6" spans="1:4" ht="14.4" x14ac:dyDescent="0.3">
      <c r="A6" s="3" t="s">
        <v>53</v>
      </c>
      <c r="B6" s="1" t="s">
        <v>179</v>
      </c>
    </row>
    <row r="7" spans="1:4" ht="14.4" x14ac:dyDescent="0.3">
      <c r="A7" s="3" t="s">
        <v>115</v>
      </c>
      <c r="B7" s="1" t="s">
        <v>180</v>
      </c>
    </row>
    <row r="10" spans="1:4" ht="23.4" x14ac:dyDescent="0.45">
      <c r="A10" s="18" t="s">
        <v>124</v>
      </c>
    </row>
    <row r="11" spans="1:4" ht="14.4" x14ac:dyDescent="0.3">
      <c r="A11" s="32" t="s">
        <v>86</v>
      </c>
      <c r="B11" s="17" t="s">
        <v>87</v>
      </c>
      <c r="C11" s="17" t="s">
        <v>88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2" cm="1">
        <f t="array" ref="D12:D21">IFERROR(C12:C21, 20)</f>
        <v>200</v>
      </c>
    </row>
    <row r="13" spans="1:4" ht="14.4" x14ac:dyDescent="0.3">
      <c r="A13" s="32">
        <v>44928</v>
      </c>
      <c r="B13" s="17" t="s">
        <v>60</v>
      </c>
      <c r="C13" s="17" t="e">
        <v>#N/A</v>
      </c>
      <c r="D13" s="2">
        <v>20</v>
      </c>
    </row>
    <row r="14" spans="1:4" ht="14.4" x14ac:dyDescent="0.3">
      <c r="A14" s="32">
        <v>44929</v>
      </c>
      <c r="B14" s="17" t="s">
        <v>61</v>
      </c>
      <c r="C14" s="17">
        <v>50</v>
      </c>
      <c r="D14" s="2">
        <v>50</v>
      </c>
    </row>
    <row r="15" spans="1:4" ht="14.4" x14ac:dyDescent="0.3">
      <c r="A15" s="32">
        <v>44930</v>
      </c>
      <c r="B15" s="17" t="s">
        <v>62</v>
      </c>
      <c r="C15" s="17" t="e">
        <v>#N/A</v>
      </c>
      <c r="D15" s="2">
        <v>20</v>
      </c>
    </row>
    <row r="16" spans="1:4" ht="14.4" x14ac:dyDescent="0.3">
      <c r="A16" s="32">
        <v>44931</v>
      </c>
      <c r="B16" s="17" t="s">
        <v>63</v>
      </c>
      <c r="C16" s="17">
        <v>10</v>
      </c>
      <c r="D16" s="2">
        <v>10</v>
      </c>
    </row>
    <row r="17" spans="1:4" ht="14.4" x14ac:dyDescent="0.3">
      <c r="A17" s="32">
        <v>44932</v>
      </c>
      <c r="B17" s="17" t="s">
        <v>116</v>
      </c>
      <c r="C17" s="17">
        <v>150</v>
      </c>
      <c r="D17" s="2">
        <v>150</v>
      </c>
    </row>
    <row r="18" spans="1:4" ht="14.4" x14ac:dyDescent="0.3">
      <c r="A18" s="32">
        <v>44933</v>
      </c>
      <c r="B18" s="17" t="s">
        <v>117</v>
      </c>
      <c r="C18" s="17">
        <v>80</v>
      </c>
      <c r="D18" s="2">
        <v>80</v>
      </c>
    </row>
    <row r="19" spans="1:4" ht="14.4" x14ac:dyDescent="0.3">
      <c r="A19" s="32">
        <v>44934</v>
      </c>
      <c r="B19" s="17" t="s">
        <v>118</v>
      </c>
      <c r="C19" s="17" t="e">
        <v>#N/A</v>
      </c>
      <c r="D19" s="2">
        <v>20</v>
      </c>
    </row>
    <row r="20" spans="1:4" ht="14.4" x14ac:dyDescent="0.3">
      <c r="A20" s="32">
        <v>44935</v>
      </c>
      <c r="B20" s="17" t="s">
        <v>119</v>
      </c>
      <c r="C20" s="17">
        <v>30</v>
      </c>
      <c r="D20" s="2">
        <v>30</v>
      </c>
    </row>
    <row r="21" spans="1:4" ht="14.4" x14ac:dyDescent="0.3">
      <c r="A21" s="32">
        <v>44936</v>
      </c>
      <c r="B21" s="17" t="s">
        <v>120</v>
      </c>
      <c r="C21" s="17" t="e">
        <v>#N/A</v>
      </c>
      <c r="D21" s="2">
        <v>20</v>
      </c>
    </row>
    <row r="22" spans="1:4" ht="14.4" x14ac:dyDescent="0.3">
      <c r="B22" s="17" t="s">
        <v>121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="74" zoomScaleNormal="100" workbookViewId="0">
      <selection activeCell="E34" sqref="E3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136</v>
      </c>
    </row>
    <row r="3" spans="1:14" ht="14.4" x14ac:dyDescent="0.3">
      <c r="B3" s="1" t="s">
        <v>113</v>
      </c>
    </row>
    <row r="4" spans="1:14" ht="18" x14ac:dyDescent="0.35">
      <c r="A4" s="42" t="s">
        <v>53</v>
      </c>
      <c r="B4" s="1"/>
      <c r="J4" s="46"/>
    </row>
    <row r="5" spans="1:14" ht="18" x14ac:dyDescent="0.35">
      <c r="A5" s="42" t="s">
        <v>115</v>
      </c>
      <c r="B5" s="1"/>
    </row>
    <row r="6" spans="1:14" ht="14.4" x14ac:dyDescent="0.3">
      <c r="A6" s="3"/>
      <c r="B6" s="1"/>
    </row>
    <row r="8" spans="1:14" ht="23.4" x14ac:dyDescent="0.45">
      <c r="A8" s="18" t="s">
        <v>124</v>
      </c>
      <c r="M8" s="18" t="s">
        <v>125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129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/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DD980-0186-431A-87C8-6A903AEC92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pulkit agarwal</cp:lastModifiedBy>
  <dcterms:created xsi:type="dcterms:W3CDTF">2015-02-10T17:33:11Z</dcterms:created>
  <dcterms:modified xsi:type="dcterms:W3CDTF">2023-12-10T16:52:36Z</dcterms:modified>
</cp:coreProperties>
</file>