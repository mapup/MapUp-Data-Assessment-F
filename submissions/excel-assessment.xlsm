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itvi\OneDrive\Documents\"/>
    </mc:Choice>
  </mc:AlternateContent>
  <xr:revisionPtr revIDLastSave="0" documentId="8_{35F561AC-E4DD-4F83-ADC9-B3AFAD71752F}" xr6:coauthVersionLast="47" xr6:coauthVersionMax="47" xr10:uidLastSave="{00000000-0000-0000-0000-000000000000}"/>
  <bookViews>
    <workbookView xWindow="-120" yWindow="-120" windowWidth="29040" windowHeight="15840" tabRatio="849" activeTab="4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3" i="20"/>
  <c r="C25" i="20"/>
  <c r="C26" i="20"/>
  <c r="C27" i="20"/>
  <c r="C28" i="20"/>
  <c r="C29" i="20"/>
  <c r="C30" i="20"/>
  <c r="C31" i="20"/>
  <c r="C32" i="20"/>
  <c r="C33" i="20"/>
  <c r="C34" i="20"/>
  <c r="C35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23" i="20"/>
  <c r="C22" i="19" a="1"/>
  <c r="C22" i="19" s="1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2" i="1"/>
  <c r="B4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<sst xmlns="http://schemas.openxmlformats.org/spreadsheetml/2006/main" count="411" uniqueCount="188">
  <si>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</si>
  <si>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</si>
  <si>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</si>
  <si>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</si>
  <si>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</si>
  <si>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</si>
  <si>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</si>
  <si>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</si>
  <si>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</si>
  <si>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</si>
  <si>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</si>
  <si>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</si>
  <si>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</si>
  <si>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</si>
  <si>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</si>
  <si>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</si>
  <si>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</si>
  <si>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</si>
  <si>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</si>
  <si>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</si>
  <si>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</si>
  <si>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</si>
  <si>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</si>
  <si>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</si>
  <si>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</si>
  <si>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</si>
  <si>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</si>
  <si>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</si>
  <si>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</si>
  <si>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</si>
  <si>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</si>
  <si>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</si>
  <si>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</si>
  <si>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</si>
  <si>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</si>
  <si>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</si>
  <si>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</si>
  <si>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</si>
  <si>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</si>
  <si>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</si>
  <si>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</si>
  <si>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</si>
  <si>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</si>
  <si>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</si>
  <si>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</si>
  <si>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</si>
  <si>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</si>
  <si>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</si>
  <si>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</si>
  <si>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</si>
  <si>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</si>
  <si>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</si>
  <si>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</si>
  <si>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</si>
  <si>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</si>
  <si>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</si>
  <si>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</si>
  <si>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</si>
  <si>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</si>
  <si>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</si>
  <si>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</si>
  <si>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</si>
  <si>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</si>
  <si>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</si>
  <si>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</si>
  <si>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</si>
  <si>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</si>
  <si>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</si>
  <si>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</si>
  <si>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</si>
  <si>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</si>
  <si>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</si>
  <si>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</si>
  <si>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</si>
  <si>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</si>
  <si>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</si>
  <si>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</si>
  <si>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</si>
  <si>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</si>
  <si>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</si>
  <si>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</si>
  <si>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</si>
  <si>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</si>
  <si>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</si>
  <si>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</si>
  <si>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</si>
  <si>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</si>
  <si>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</si>
  <si>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</si>
  <si>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</si>
  <si>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</si>
  <si>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</si>
  <si>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</si>
  <si>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</si>
  <si>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</si>
  <si>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</si>
  <si>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</si>
  <si>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</si>
  <si>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</si>
  <si>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</si>
  <si>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</si>
  <si>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</si>
  <si>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</si>
  <si>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</si>
  <si>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</si>
  <si>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</si>
  <si>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</si>
  <si>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</si>
  <si>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</si>
  <si>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</si>
  <si>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</si>
  <si>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</si>
  <si>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</si>
  <si>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</si>
  <si>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</si>
  <si>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</si>
  <si>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</si>
  <si>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</si>
  <si>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</si>
  <si>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</si>
  <si>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</si>
  <si>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</si>
  <si>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</si>
  <si>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</si>
  <si>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</si>
  <si>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</si>
  <si>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</si>
  <si>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</si>
  <si>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</si>
  <si>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</si>
  <si>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</si>
  <si>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</si>
  <si>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</si>
  <si>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</si>
  <si>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</si>
  <si>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</si>
  <si>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</si>
  <si>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</si>
  <si>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</si>
  <si>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</si>
  <si>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</si>
  <si>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</si>
  <si>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</si>
  <si>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</si>
  <si>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</si>
  <si>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</si>
  <si>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</si>
  <si>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</si>
  <si>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</si>
  <si>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</si>
  <si>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</si>
  <si>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</si>
  <si>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</si>
  <si>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</si>
  <si>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</si>
  <si>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</si>
  <si>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</si>
  <si>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</si>
  <si>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</si>
  <si>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</si>
  <si>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</si>
  <si>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</si>
  <si>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</si>
  <si>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</si>
  <si>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</si>
  <si>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</si>
  <si>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</si>
  <si>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</si>
  <si>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</si>
  <si>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</si>
  <si>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</si>
  <si>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</si>
  <si>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</si>
  <si>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</si>
  <si>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</si>
  <si>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</si>
  <si>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</si>
  <si>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sum </t>
  </si>
  <si>
    <t>sumif(H:H,"20",H:H)</t>
  </si>
  <si>
    <t>format_date</t>
  </si>
  <si>
    <t>Text to Columns</t>
  </si>
  <si>
    <t>First I copied all the values to col_1.The selected the range of scells, cliecked on "Data" &lt;&lt; 'Text to columns'&lt;&lt;'Delimiter'&lt;&lt;'choose delimter as '-' and click Finish</t>
  </si>
  <si>
    <t>SUM(IF(ISNUMBER(C12:C21), C12:C21, 20))</t>
  </si>
  <si>
    <t>The if function inside sum will check if the value is a number or not. If its NaN will replace by 20 and then it ll get the sum of the column.</t>
  </si>
  <si>
    <t>ID_1</t>
  </si>
  <si>
    <t>ID_2</t>
  </si>
  <si>
    <t>VLOOKUP(E24,$A$9:$J$18,MATCH(F24,$A$9:$J$9,0),FALSE)</t>
  </si>
  <si>
    <t>First used vlookup and created 2 columns called ID_1 and ID_2 which are the mapping names of the IDs from Table B. Then in the major V lookup function, ID_1 is used as the lookup key and match function is used where elements in ID_2 are searched in the range of column headers iof Table A and their corresponding values are retrieved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</si>
</sst>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5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3"/>
  <sheetViews>
    <sheetView topLeftCell="I1" zoomScaleNormal="100" workbookViewId="0">
      <pane ySplit="1" topLeftCell="A7" activePane="bottomLeft" state="frozen"/>
      <selection pane="bottomLeft" activeCell="A12" sqref="A1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25" width="18.1640625" style="1" customWidth="1"/>
    <col min="26" max="16384" width="9" style="1"/>
  </cols>
  <sheetData>
    <row r="1" spans="1:25" s="3" customFormat="1" ht="14.85" customHeight="1" x14ac:dyDescent="0.2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  <c r="Y1" s="3" t="s">
        <v>179</v>
      </c>
    </row>
    <row r="2" spans="1:25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  <c r="Y2" s="1" t="str">
        <f>TEXT(X2, "yyyy-mm-dd")</f>
        <v>2023-05-05</v>
      </c>
    </row>
    <row r="3" spans="1:25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  <c r="Y3" s="1" t="str">
        <f t="shared" ref="Y3:Y40" si="0">TEXT(X3, "yyyy-mm-dd")</f>
        <v>2023-05-02</v>
      </c>
    </row>
    <row r="4" spans="1:25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  <c r="Y4" s="1" t="str">
        <f t="shared" si="0"/>
        <v>2023-05-09</v>
      </c>
    </row>
    <row r="5" spans="1:25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  <c r="Y5" s="1" t="str">
        <f t="shared" si="0"/>
        <v>2023-05-13</v>
      </c>
    </row>
    <row r="6" spans="1:25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  <c r="Y6" s="1" t="str">
        <f t="shared" si="0"/>
        <v>2023-05-30</v>
      </c>
    </row>
    <row r="7" spans="1:25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  <c r="Y7" s="1" t="str">
        <f t="shared" si="0"/>
        <v>2023-05-11</v>
      </c>
    </row>
    <row r="8" spans="1:25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  <c r="Y8" s="1" t="str">
        <f t="shared" si="0"/>
        <v>2023-05-06</v>
      </c>
    </row>
    <row r="9" spans="1:25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  <c r="Y9" s="1" t="str">
        <f t="shared" si="0"/>
        <v>2023-06-21</v>
      </c>
    </row>
    <row r="10" spans="1:25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  <c r="Y10" s="1" t="str">
        <f t="shared" si="0"/>
        <v>2023-06-15</v>
      </c>
    </row>
    <row r="11" spans="1:25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  <c r="Y11" s="1" t="str">
        <f t="shared" si="0"/>
        <v>2023-06-27</v>
      </c>
    </row>
    <row r="12" spans="1:25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  <c r="Y12" s="1" t="str">
        <f t="shared" si="0"/>
        <v>2023-07-09</v>
      </c>
    </row>
    <row r="13" spans="1:25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  <c r="Y13" s="1" t="str">
        <f t="shared" si="0"/>
        <v>2023-07-03</v>
      </c>
    </row>
    <row r="14" spans="1:25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  <c r="Y14" s="1" t="str">
        <f t="shared" si="0"/>
        <v>2023-06-18</v>
      </c>
    </row>
    <row r="15" spans="1:25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  <c r="Y15" s="1" t="str">
        <f t="shared" si="0"/>
        <v>2023-07-06</v>
      </c>
    </row>
    <row r="16" spans="1:25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  <c r="Y16" s="1" t="str">
        <f t="shared" si="0"/>
        <v>2023-05-17</v>
      </c>
    </row>
    <row r="17" spans="1:25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  <c r="Y17" s="1" t="str">
        <f t="shared" si="0"/>
        <v>2023-05-25</v>
      </c>
    </row>
    <row r="18" spans="1:25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  <c r="Y18" s="1" t="str">
        <f t="shared" si="0"/>
        <v>2023-06-08</v>
      </c>
    </row>
    <row r="19" spans="1:25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  <c r="Y19" s="1" t="str">
        <f t="shared" si="0"/>
        <v>2023-06-22</v>
      </c>
    </row>
    <row r="20" spans="1:25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  <c r="Y20" s="1" t="str">
        <f t="shared" si="0"/>
        <v>2023-06-14</v>
      </c>
    </row>
    <row r="21" spans="1:25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  <c r="Y21" s="1" t="str">
        <f t="shared" si="0"/>
        <v>2023-06-02</v>
      </c>
    </row>
    <row r="22" spans="1:25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  <c r="Y22" s="1" t="str">
        <f t="shared" si="0"/>
        <v>2023-05-29</v>
      </c>
    </row>
    <row r="23" spans="1:25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  <c r="Y23" s="1" t="str">
        <f t="shared" si="0"/>
        <v>2023-07-03</v>
      </c>
    </row>
    <row r="24" spans="1:25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  <c r="Y24" s="1" t="str">
        <f t="shared" si="0"/>
        <v>2023-07-07</v>
      </c>
    </row>
    <row r="25" spans="1:25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  <c r="Y25" s="1" t="str">
        <f t="shared" si="0"/>
        <v>2023-07-11</v>
      </c>
    </row>
    <row r="26" spans="1:25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  <c r="Y26" s="1" t="str">
        <f t="shared" si="0"/>
        <v>2023-08-04</v>
      </c>
    </row>
    <row r="27" spans="1:25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  <c r="Y27" s="1" t="str">
        <f t="shared" si="0"/>
        <v>2023-08-08</v>
      </c>
    </row>
    <row r="28" spans="1:25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  <c r="Y28" s="1" t="str">
        <f t="shared" si="0"/>
        <v>2023-07-01</v>
      </c>
    </row>
    <row r="29" spans="1:25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  <c r="Y29" s="1" t="str">
        <f t="shared" si="0"/>
        <v>2023-08-15</v>
      </c>
    </row>
    <row r="30" spans="1:25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  <c r="Y30" s="1" t="str">
        <f t="shared" si="0"/>
        <v>2023-08-12</v>
      </c>
    </row>
    <row r="31" spans="1:25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  <c r="Y31" s="1" t="str">
        <f t="shared" si="0"/>
        <v>2023-08-19</v>
      </c>
    </row>
    <row r="32" spans="1:25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  <c r="Y32" s="1" t="str">
        <f t="shared" si="0"/>
        <v>2023-08-05</v>
      </c>
    </row>
    <row r="33" spans="1:25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  <c r="Y33" s="1" t="str">
        <f t="shared" si="0"/>
        <v>2023-08-28</v>
      </c>
    </row>
    <row r="34" spans="1:25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  <c r="Y34" s="1" t="str">
        <f t="shared" si="0"/>
        <v>2023-08-24</v>
      </c>
    </row>
    <row r="35" spans="1:25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  <c r="Y35" s="1" t="str">
        <f t="shared" si="0"/>
        <v>2023-08-22</v>
      </c>
    </row>
    <row r="36" spans="1:25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  <c r="Y36" s="1" t="str">
        <f t="shared" si="0"/>
        <v>2023-09-10</v>
      </c>
    </row>
    <row r="37" spans="1:25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  <c r="Y37" s="1" t="str">
        <f t="shared" si="0"/>
        <v>2023-08-19</v>
      </c>
    </row>
    <row r="38" spans="1:25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  <c r="Y38" s="1" t="str">
        <f t="shared" si="0"/>
        <v>2023-08-05</v>
      </c>
    </row>
    <row r="39" spans="1:25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  <c r="Y39" s="1" t="str">
        <f t="shared" si="0"/>
        <v>2023-08-28</v>
      </c>
    </row>
    <row r="40" spans="1:25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  <c r="Y40" s="1" t="str">
        <f t="shared" si="0"/>
        <v>2023-08-24</v>
      </c>
    </row>
    <row r="43" spans="1:25" x14ac:dyDescent="0.25">
      <c r="A43" s="3" t="s">
        <v>177</v>
      </c>
      <c r="B43" s="1">
        <f>SUMIF(H:H, "&gt;20", H:H)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2" operator="equal">
      <formula>-1</formula>
    </cfRule>
  </conditionalFormatting>
  <conditionalFormatting sqref="G1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178</v>
      </c>
      <c r="D5" s="1">
        <v>1473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21" sqref="H21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VLOOKUP(A6,Dataset!$A$1:$I$40,7,FALSE)</f>
        <v>2.7</v>
      </c>
      <c r="C6" s="12">
        <f>VLOOKUP(A6,Dataset!$A$2:$N$40,14,FALSE)</f>
        <v>7.6</v>
      </c>
      <c r="D6" s="12">
        <f>VLOOKUP(A6,Dataset!$A$2:$R$40,18,FALSE)</f>
        <v>4.2</v>
      </c>
      <c r="E6" s="12">
        <f>VLOOKUP(A6,Dataset!$A$2:$T$40,20,FALSE)</f>
        <v>8.9</v>
      </c>
      <c r="F6" s="8">
        <f>VLOOKUP(A6,Dataset!$A$2:$V$40,22,FALSE)</f>
        <v>4.2</v>
      </c>
    </row>
    <row r="7" spans="1:7" ht="15" x14ac:dyDescent="0.25">
      <c r="A7" s="7" t="s">
        <v>4</v>
      </c>
      <c r="B7" s="12">
        <f>VLOOKUP(A7,Dataset!$A$1:$I$40,7,FALSE)</f>
        <v>2.7</v>
      </c>
      <c r="C7" s="12">
        <f>VLOOKUP(A7,Dataset!$A$2:$N$40,14,FALSE)</f>
        <v>7.6</v>
      </c>
      <c r="D7" s="12">
        <f>VLOOKUP(A7,Dataset!$A$2:$R$40,18,FALSE)</f>
        <v>4.2</v>
      </c>
      <c r="E7" s="12">
        <f>VLOOKUP(A7,Dataset!$A$2:$T$40,20,FALSE)</f>
        <v>8.9</v>
      </c>
      <c r="F7" s="8">
        <f>VLOOKUP(A7,Dataset!$A$2:$V$40,22,FALSE)</f>
        <v>4.2</v>
      </c>
    </row>
    <row r="8" spans="1:7" ht="15" x14ac:dyDescent="0.25">
      <c r="A8" s="7" t="s">
        <v>7</v>
      </c>
      <c r="B8" s="12">
        <f>VLOOKUP(A8,Dataset!$A$1:$I$40,7,FALSE)</f>
        <v>3.6</v>
      </c>
      <c r="C8" s="12">
        <f>VLOOKUP(A8,Dataset!$A$2:$N$40,14,FALSE)</f>
        <v>11.1</v>
      </c>
      <c r="D8" s="12">
        <f>VLOOKUP(A8,Dataset!$A$2:$R$40,18,FALSE)</f>
        <v>5.8</v>
      </c>
      <c r="E8" s="12">
        <f>VLOOKUP(A8,Dataset!$A$2:$T$40,20,FALSE)</f>
        <v>12.2</v>
      </c>
      <c r="F8" s="8">
        <f>VLOOKUP(A8,Dataset!$A$2:$V$40,22,FALSE)</f>
        <v>5.8</v>
      </c>
    </row>
    <row r="9" spans="1:7" ht="15" x14ac:dyDescent="0.25">
      <c r="A9" s="7" t="s">
        <v>8</v>
      </c>
      <c r="B9" s="12">
        <f>VLOOKUP(A9,Dataset!$A$1:$I$40,7,FALSE)</f>
        <v>4.9000000000000004</v>
      </c>
      <c r="C9" s="12">
        <f>VLOOKUP(A9,Dataset!$A$2:$N$40,14,FALSE)</f>
        <v>13.3</v>
      </c>
      <c r="D9" s="12">
        <f>VLOOKUP(A9,Dataset!$A$2:$R$40,18,FALSE)</f>
        <v>8.1</v>
      </c>
      <c r="E9" s="12">
        <f>VLOOKUP(A9,Dataset!$A$2:$T$40,20,FALSE)</f>
        <v>17</v>
      </c>
      <c r="F9" s="8">
        <f>VLOOKUP(A9,Dataset!$A$2:$V$40,22,FALSE)</f>
        <v>8.1</v>
      </c>
    </row>
    <row r="10" spans="1:7" ht="15" x14ac:dyDescent="0.25">
      <c r="A10" s="7" t="s">
        <v>11</v>
      </c>
      <c r="B10" s="12">
        <f>VLOOKUP(A10,Dataset!$A$1:$I$40,7,FALSE)</f>
        <v>9.4</v>
      </c>
      <c r="C10" s="12">
        <f>VLOOKUP(A10,Dataset!$A$2:$N$40,14,FALSE)</f>
        <v>28.3</v>
      </c>
      <c r="D10" s="12">
        <f>VLOOKUP(A10,Dataset!$A$2:$R$40,18,FALSE)</f>
        <v>16.100000000000001</v>
      </c>
      <c r="E10" s="12">
        <f>VLOOKUP(A10,Dataset!$A$2:$T$40,20,FALSE)</f>
        <v>32.799999999999997</v>
      </c>
      <c r="F10" s="8">
        <f>VLOOKUP(A10,Dataset!$A$2:$V$40,22,FALSE)</f>
        <v>16.100000000000001</v>
      </c>
    </row>
    <row r="11" spans="1:7" ht="15" x14ac:dyDescent="0.25">
      <c r="A11" s="7" t="s">
        <v>12</v>
      </c>
      <c r="B11" s="12">
        <f>VLOOKUP(A11,Dataset!$A$1:$I$40,7,FALSE)</f>
        <v>11.6</v>
      </c>
      <c r="C11" s="12">
        <f>VLOOKUP(A11,Dataset!$A$2:$N$40,14,FALSE)</f>
        <v>35.200000000000003</v>
      </c>
      <c r="D11" s="12">
        <f>VLOOKUP(A11,Dataset!$A$2:$R$40,18,FALSE)</f>
        <v>21.3</v>
      </c>
      <c r="E11" s="12">
        <f>VLOOKUP(A11,Dataset!$A$2:$T$40,20,FALSE)</f>
        <v>43</v>
      </c>
      <c r="F11" s="8">
        <f>VLOOKUP(A11,Dataset!$A$2:$V$40,22,FALSE)</f>
        <v>21.3</v>
      </c>
    </row>
    <row r="12" spans="1:7" ht="15" x14ac:dyDescent="0.25">
      <c r="A12" s="7" t="s">
        <v>14</v>
      </c>
      <c r="B12" s="12">
        <f>VLOOKUP(A12,Dataset!$A$1:$I$40,7,FALSE)</f>
        <v>18.399999999999999</v>
      </c>
      <c r="C12" s="12">
        <f>VLOOKUP(A12,Dataset!$A$2:$N$40,14,FALSE)</f>
        <v>55.6</v>
      </c>
      <c r="D12" s="12">
        <f>VLOOKUP(A12,Dataset!$A$2:$R$40,18,FALSE)</f>
        <v>33.799999999999997</v>
      </c>
      <c r="E12" s="12">
        <f>VLOOKUP(A12,Dataset!$A$2:$T$40,20,FALSE)</f>
        <v>67.900000000000006</v>
      </c>
      <c r="F12" s="8">
        <f>VLOOKUP(A12,Dataset!$A$2:$V$40,22,FALSE)</f>
        <v>33.799999999999997</v>
      </c>
    </row>
    <row r="13" spans="1:7" ht="15" x14ac:dyDescent="0.25">
      <c r="A13" s="7" t="s">
        <v>15</v>
      </c>
      <c r="B13" s="12">
        <f>VLOOKUP(A13,Dataset!$A$1:$I$40,7,FALSE)</f>
        <v>0</v>
      </c>
      <c r="C13" s="12">
        <f>VLOOKUP(A13,Dataset!$A$2:$N$40,14,FALSE)</f>
        <v>0</v>
      </c>
      <c r="D13" s="12">
        <f>VLOOKUP(A13,Dataset!$A$2:$R$40,18,FALSE)</f>
        <v>0</v>
      </c>
      <c r="E13" s="12">
        <f>VLOOKUP(A13,Dataset!$A$2:$T$40,20,FALSE)</f>
        <v>0</v>
      </c>
      <c r="F13" s="8">
        <f>VLOOKUP(A13,Dataset!$A$2:$V$40,22,FALSE)</f>
        <v>0</v>
      </c>
    </row>
    <row r="14" spans="1:7" ht="15" x14ac:dyDescent="0.25">
      <c r="A14" s="7" t="s">
        <v>16</v>
      </c>
      <c r="B14" s="12">
        <f>VLOOKUP(A14,Dataset!$A$1:$I$40,7,FALSE)</f>
        <v>21.9</v>
      </c>
      <c r="C14" s="12">
        <f>VLOOKUP(A14,Dataset!$A$2:$N$40,14,FALSE)</f>
        <v>61.5</v>
      </c>
      <c r="D14" s="12">
        <f>VLOOKUP(A14,Dataset!$A$2:$R$40,18,FALSE)</f>
        <v>40.1</v>
      </c>
      <c r="E14" s="12">
        <f>VLOOKUP(A14,Dataset!$A$2:$T$40,20,FALSE)</f>
        <v>76.599999999999994</v>
      </c>
      <c r="F14" s="8">
        <f>VLOOKUP(A14,Dataset!$A$2:$V$40,22,FALSE)</f>
        <v>40.1</v>
      </c>
    </row>
    <row r="15" spans="1:7" ht="15" x14ac:dyDescent="0.25">
      <c r="A15" s="7" t="s">
        <v>18</v>
      </c>
      <c r="B15" s="12">
        <f>VLOOKUP(A15,Dataset!$A$1:$I$40,7,FALSE)</f>
        <v>26.8</v>
      </c>
      <c r="C15" s="12">
        <f>VLOOKUP(A15,Dataset!$A$2:$N$40,14,FALSE)</f>
        <v>79.599999999999994</v>
      </c>
      <c r="D15" s="12">
        <f>VLOOKUP(A15,Dataset!$A$2:$R$40,18,FALSE)</f>
        <v>47.9</v>
      </c>
      <c r="E15" s="12">
        <f>VLOOKUP(A15,Dataset!$A$2:$T$40,20,FALSE)</f>
        <v>96.8</v>
      </c>
      <c r="F15" s="8">
        <f>VLOOKUP(A15,Dataset!$A$2:$V$40,22,FALSE)</f>
        <v>47.9</v>
      </c>
    </row>
    <row r="16" spans="1:7" ht="15" x14ac:dyDescent="0.25">
      <c r="A16" s="7" t="s">
        <v>20</v>
      </c>
      <c r="B16" s="12">
        <f>VLOOKUP(A16,Dataset!$A$1:$I$40,7,FALSE)</f>
        <v>28.5</v>
      </c>
      <c r="C16" s="12">
        <f>VLOOKUP(A16,Dataset!$A$2:$N$40,14,FALSE)</f>
        <v>85.4</v>
      </c>
      <c r="D16" s="12">
        <f>VLOOKUP(A16,Dataset!$A$2:$R$40,18,FALSE)</f>
        <v>52.3</v>
      </c>
      <c r="E16" s="12">
        <f>VLOOKUP(A16,Dataset!$A$2:$T$40,20,FALSE)</f>
        <v>106.1</v>
      </c>
      <c r="F16" s="8">
        <f>VLOOKUP(A16,Dataset!$A$2:$V$40,22,FALSE)</f>
        <v>52.3</v>
      </c>
    </row>
    <row r="17" spans="1:6" ht="15" x14ac:dyDescent="0.25">
      <c r="A17" s="7" t="s">
        <v>22</v>
      </c>
      <c r="B17" s="12">
        <f>VLOOKUP(A17,Dataset!$A$1:$I$40,7,FALSE)</f>
        <v>30.7</v>
      </c>
      <c r="C17" s="12">
        <f>VLOOKUP(A17,Dataset!$A$2:$N$40,14,FALSE)</f>
        <v>92.1</v>
      </c>
      <c r="D17" s="12">
        <f>VLOOKUP(A17,Dataset!$A$2:$R$40,18,FALSE)</f>
        <v>57</v>
      </c>
      <c r="E17" s="12">
        <f>VLOOKUP(A17,Dataset!$A$2:$T$40,20,FALSE)</f>
        <v>115.1</v>
      </c>
      <c r="F17" s="8">
        <f>VLOOKUP(A17,Dataset!$A$2:$V$40,22,FALSE)</f>
        <v>57</v>
      </c>
    </row>
    <row r="18" spans="1:6" ht="15" x14ac:dyDescent="0.25">
      <c r="A18" s="7" t="s">
        <v>23</v>
      </c>
      <c r="B18" s="12">
        <f>VLOOKUP(A18,Dataset!$A$1:$I$40,7,FALSE)</f>
        <v>33.799999999999997</v>
      </c>
      <c r="C18" s="12">
        <f>VLOOKUP(A18,Dataset!$A$2:$N$40,14,FALSE)</f>
        <v>101.3</v>
      </c>
      <c r="D18" s="12">
        <f>VLOOKUP(A18,Dataset!$A$2:$R$40,18,FALSE)</f>
        <v>61.4</v>
      </c>
      <c r="E18" s="12">
        <f>VLOOKUP(A18,Dataset!$A$2:$T$40,20,FALSE)</f>
        <v>124.4</v>
      </c>
      <c r="F18" s="8">
        <f>VLOOKUP(A18,Dataset!$A$2:$V$40,22,FALSE)</f>
        <v>61.4</v>
      </c>
    </row>
    <row r="19" spans="1:6" ht="15" x14ac:dyDescent="0.25">
      <c r="A19" s="7" t="s">
        <v>24</v>
      </c>
      <c r="B19" s="12">
        <f>VLOOKUP(A19,Dataset!$A$1:$I$40,7,FALSE)</f>
        <v>34.700000000000003</v>
      </c>
      <c r="C19" s="12">
        <f>VLOOKUP(A19,Dataset!$A$2:$N$40,14,FALSE)</f>
        <v>106.1</v>
      </c>
      <c r="D19" s="12">
        <f>VLOOKUP(A19,Dataset!$A$2:$R$40,18,FALSE)</f>
        <v>63.6</v>
      </c>
      <c r="E19" s="12">
        <f>VLOOKUP(A19,Dataset!$A$2:$T$40,20,FALSE)</f>
        <v>128.6</v>
      </c>
      <c r="F19" s="8">
        <f>VLOOKUP(A19,Dataset!$A$2:$V$40,22,FALSE)</f>
        <v>63.6</v>
      </c>
    </row>
    <row r="20" spans="1:6" ht="15" x14ac:dyDescent="0.25">
      <c r="A20" s="7" t="s">
        <v>28</v>
      </c>
      <c r="B20" s="12">
        <f>VLOOKUP(A20,Dataset!$A$1:$I$40,7,FALSE)</f>
        <v>0</v>
      </c>
      <c r="C20" s="12">
        <f>VLOOKUP(A20,Dataset!$A$2:$N$40,14,FALSE)</f>
        <v>0</v>
      </c>
      <c r="D20" s="12">
        <f>VLOOKUP(A20,Dataset!$A$2:$R$40,18,FALSE)</f>
        <v>0</v>
      </c>
      <c r="E20" s="12">
        <f>VLOOKUP(A20,Dataset!$A$2:$T$40,20,FALSE)</f>
        <v>0</v>
      </c>
      <c r="F20" s="8">
        <f>VLOOKUP(A20,Dataset!$A$2:$V$40,22,FALSE)</f>
        <v>0</v>
      </c>
    </row>
    <row r="21" spans="1:6" ht="15" x14ac:dyDescent="0.25">
      <c r="A21" s="7" t="s">
        <v>57</v>
      </c>
      <c r="B21" s="12">
        <f>VLOOKUP(A21,Dataset!$A$1:$I$40,7,FALSE)</f>
        <v>41.3</v>
      </c>
      <c r="C21" s="12">
        <f>VLOOKUP(A21,Dataset!$A$2:$N$40,14,FALSE)</f>
        <v>124.4</v>
      </c>
      <c r="D21" s="12">
        <f>VLOOKUP(A21,Dataset!$A$2:$R$40,18,FALSE)</f>
        <v>75</v>
      </c>
      <c r="E21" s="12">
        <f>VLOOKUP(A21,Dataset!$A$2:$T$40,20,FALSE)</f>
        <v>151.5</v>
      </c>
      <c r="F21" s="8">
        <f>VLOOKUP(A21,Dataset!$A$2:$V$40,22,FALSE)</f>
        <v>75</v>
      </c>
    </row>
    <row r="22" spans="1:6" ht="15" x14ac:dyDescent="0.25">
      <c r="A22" s="7" t="s">
        <v>58</v>
      </c>
      <c r="B22" s="12">
        <f>VLOOKUP(A22,Dataset!$A$1:$I$40,7,FALSE)</f>
        <v>-1</v>
      </c>
      <c r="C22" s="12">
        <f>VLOOKUP(A22,Dataset!$A$2:$N$40,14,FALSE)</f>
        <v>-1</v>
      </c>
      <c r="D22" s="12">
        <f>VLOOKUP(A22,Dataset!$A$2:$R$40,18,FALSE)</f>
        <v>-1</v>
      </c>
      <c r="E22" s="12">
        <f>VLOOKUP(A22,Dataset!$A$2:$T$40,20,FALSE)</f>
        <v>-1</v>
      </c>
      <c r="F22" s="8">
        <f>VLOOKUP(A22,Dataset!$A$2:$V$40,22,FALSE)</f>
        <v>-1</v>
      </c>
    </row>
    <row r="23" spans="1:6" ht="15" x14ac:dyDescent="0.25">
      <c r="A23" s="7" t="s">
        <v>31</v>
      </c>
      <c r="B23" s="12">
        <f>VLOOKUP(A23,Dataset!$A$1:$I$40,7,FALSE)</f>
        <v>45</v>
      </c>
      <c r="C23" s="12">
        <f>VLOOKUP(A23,Dataset!$A$2:$N$40,14,FALSE)</f>
        <v>133.4</v>
      </c>
      <c r="D23" s="12">
        <f>VLOOKUP(A23,Dataset!$A$2:$R$40,18,FALSE)</f>
        <v>79.400000000000006</v>
      </c>
      <c r="E23" s="12">
        <f>VLOOKUP(A23,Dataset!$A$2:$T$40,20,FALSE)</f>
        <v>160.9</v>
      </c>
      <c r="F23" s="8">
        <f>VLOOKUP(A23,Dataset!$A$2:$V$40,22,FALSE)</f>
        <v>79.400000000000006</v>
      </c>
    </row>
    <row r="24" spans="1:6" ht="15" x14ac:dyDescent="0.25">
      <c r="A24" s="7" t="s">
        <v>32</v>
      </c>
      <c r="B24" s="12">
        <f>VLOOKUP(A24,Dataset!$A$1:$I$40,7,FALSE)</f>
        <v>-1</v>
      </c>
      <c r="C24" s="12">
        <f>VLOOKUP(A24,Dataset!$A$2:$N$40,14,FALSE)</f>
        <v>-1</v>
      </c>
      <c r="D24" s="12">
        <f>VLOOKUP(A24,Dataset!$A$2:$R$40,18,FALSE)</f>
        <v>-1</v>
      </c>
      <c r="E24" s="12">
        <f>VLOOKUP(A24,Dataset!$A$2:$T$40,20,FALSE)</f>
        <v>-1</v>
      </c>
      <c r="F24" s="8">
        <f>VLOOKUP(A24,Dataset!$A$2:$V$40,22,FALSE)</f>
        <v>-1</v>
      </c>
    </row>
    <row r="25" spans="1:6" ht="15" x14ac:dyDescent="0.25">
      <c r="A25" s="7" t="s">
        <v>34</v>
      </c>
      <c r="B25" s="12">
        <f>VLOOKUP(A25,Dataset!$A$1:$I$40,7,FALSE)</f>
        <v>43.3</v>
      </c>
      <c r="C25" s="12">
        <f>VLOOKUP(A25,Dataset!$A$2:$N$40,14,FALSE)</f>
        <v>128.6</v>
      </c>
      <c r="D25" s="12">
        <f>VLOOKUP(A25,Dataset!$A$2:$R$40,18,FALSE)</f>
        <v>79.400000000000006</v>
      </c>
      <c r="E25" s="12">
        <f>VLOOKUP(A25,Dataset!$A$2:$T$40,20,FALSE)</f>
        <v>160.9</v>
      </c>
      <c r="F25" s="8">
        <f>VLOOKUP(A25,Dataset!$A$2:$V$40,22,FALSE)</f>
        <v>79.400000000000006</v>
      </c>
    </row>
    <row r="26" spans="1:6" ht="15" x14ac:dyDescent="0.25">
      <c r="A26" s="7" t="s">
        <v>37</v>
      </c>
      <c r="B26" s="12">
        <f>VLOOKUP(A26,Dataset!$A$1:$I$40,7,FALSE)</f>
        <v>49.1</v>
      </c>
      <c r="C26" s="12">
        <f>VLOOKUP(A26,Dataset!$A$2:$N$40,14,FALSE)</f>
        <v>146.80000000000001</v>
      </c>
      <c r="D26" s="12">
        <f>VLOOKUP(A26,Dataset!$A$2:$R$40,18,FALSE)</f>
        <v>90.9</v>
      </c>
      <c r="E26" s="12">
        <f>VLOOKUP(A26,Dataset!$A$2:$T$40,20,FALSE)</f>
        <v>183.5</v>
      </c>
      <c r="F26" s="8">
        <f>VLOOKUP(A26,Dataset!$A$2:$V$40,22,FALSE)</f>
        <v>90.9</v>
      </c>
    </row>
    <row r="27" spans="1:6" ht="15" x14ac:dyDescent="0.25">
      <c r="A27" s="7" t="s">
        <v>39</v>
      </c>
      <c r="B27" s="12">
        <f>VLOOKUP(A27,Dataset!$A$1:$I$40,7,FALSE)</f>
        <v>51.8</v>
      </c>
      <c r="C27" s="12">
        <f>VLOOKUP(A27,Dataset!$A$2:$N$40,14,FALSE)</f>
        <v>156.4</v>
      </c>
      <c r="D27" s="12">
        <f>VLOOKUP(A27,Dataset!$A$2:$R$40,18,FALSE)</f>
        <v>93.1</v>
      </c>
      <c r="E27" s="12">
        <f>VLOOKUP(A27,Dataset!$A$2:$T$40,20,FALSE)</f>
        <v>188.1</v>
      </c>
      <c r="F27" s="8">
        <f>VLOOKUP(A27,Dataset!$A$2:$V$40,22,FALSE)</f>
        <v>93.1</v>
      </c>
    </row>
    <row r="28" spans="1:6" ht="15" x14ac:dyDescent="0.25">
      <c r="A28" s="19" t="s">
        <v>82</v>
      </c>
      <c r="B28" s="17">
        <f>MIN(B6:B27)</f>
        <v>-1</v>
      </c>
      <c r="C28" s="17">
        <f t="shared" ref="C28:F28" si="0">MIN(C6:C27)</f>
        <v>-1</v>
      </c>
      <c r="D28" s="17">
        <f t="shared" si="0"/>
        <v>-1</v>
      </c>
      <c r="E28" s="17">
        <f t="shared" si="0"/>
        <v>-1</v>
      </c>
      <c r="F28" s="17">
        <f t="shared" si="0"/>
        <v>-1</v>
      </c>
    </row>
    <row r="29" spans="1:6" ht="15" x14ac:dyDescent="0.25">
      <c r="A29" s="19" t="s">
        <v>83</v>
      </c>
      <c r="B29" s="17">
        <f>MAX(B6:B27)</f>
        <v>51.8</v>
      </c>
      <c r="C29" s="17">
        <f t="shared" ref="C29:F29" si="1">MAX(C6:C27)</f>
        <v>156.4</v>
      </c>
      <c r="D29" s="17">
        <f t="shared" si="1"/>
        <v>93.1</v>
      </c>
      <c r="E29" s="17">
        <f t="shared" si="1"/>
        <v>188.1</v>
      </c>
      <c r="F29" s="17">
        <f t="shared" si="1"/>
        <v>93.1</v>
      </c>
    </row>
    <row r="30" spans="1:6" ht="15" x14ac:dyDescent="0.25">
      <c r="A30" s="19" t="s">
        <v>84</v>
      </c>
      <c r="B30" s="17">
        <f>AVERAGE(B6:B27)</f>
        <v>20.827272727272728</v>
      </c>
      <c r="C30" s="17">
        <f t="shared" ref="C30:F30" si="2">AVERAGE(C6:C27)</f>
        <v>62.377272727272725</v>
      </c>
      <c r="D30" s="17">
        <f t="shared" si="2"/>
        <v>37.800000000000004</v>
      </c>
      <c r="E30" s="17">
        <f t="shared" si="2"/>
        <v>76.418181818181822</v>
      </c>
      <c r="F30" s="17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abSelected="1" zoomScaleNormal="100" workbookViewId="0">
      <selection activeCell="J29" sqref="J29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 t="s">
        <v>180</v>
      </c>
    </row>
    <row r="6" spans="1:10" ht="18.75" x14ac:dyDescent="0.3">
      <c r="A6" s="43" t="s">
        <v>153</v>
      </c>
      <c r="B6" s="40" t="s">
        <v>181</v>
      </c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2" sqref="C2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182</v>
      </c>
    </row>
    <row r="7" spans="1:3" ht="15" x14ac:dyDescent="0.25">
      <c r="A7" s="3" t="s">
        <v>153</v>
      </c>
      <c r="B7" s="1" t="s">
        <v>183</v>
      </c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 t="e">
        <v>#N/A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25" cm="1">
        <f t="array" ref="C22">SUM(IF(ISNUMBER(C12:C21), 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K18" sqref="K18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  <c r="C4" s="2" t="s">
        <v>186</v>
      </c>
    </row>
    <row r="5" spans="1:14" ht="18.75" x14ac:dyDescent="0.3">
      <c r="A5" s="43" t="s">
        <v>153</v>
      </c>
      <c r="B5" s="1"/>
      <c r="C5" s="2" t="s">
        <v>187</v>
      </c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  <c r="E22" s="2" t="s">
        <v>184</v>
      </c>
      <c r="F22" s="2" t="s">
        <v>185</v>
      </c>
    </row>
    <row r="23" spans="1:14" ht="15" x14ac:dyDescent="0.25">
      <c r="A23" s="7">
        <v>10100</v>
      </c>
      <c r="B23" s="12">
        <v>10102</v>
      </c>
      <c r="C23" s="44">
        <f>VLOOKUP(E23,$A$9:$J$18,MATCH(F23,$A$9:$J$9,0),FALSE)</f>
        <v>95</v>
      </c>
      <c r="E23" s="2" t="str">
        <f>VLOOKUP(A23,$M$10:$N$18,2,FALSE)</f>
        <v>A</v>
      </c>
      <c r="F23" s="2" t="str">
        <f>VLOOKUP(B23,$M$10:$N$18,2,FALSE)</f>
        <v>B</v>
      </c>
    </row>
    <row r="24" spans="1:14" ht="15" x14ac:dyDescent="0.25">
      <c r="A24" s="7">
        <v>10100</v>
      </c>
      <c r="B24" s="12">
        <v>10104</v>
      </c>
      <c r="C24" s="44">
        <f>VLOOKUP(E24,$A$9:$J$18,MATCH(F24,$A$9:$J$9,0),FALSE)</f>
        <v>-1</v>
      </c>
      <c r="E24" s="2" t="str">
        <f t="shared" ref="E24:E35" si="0">VLOOKUP(A24,$M$10:$N$18,2,FALSE)</f>
        <v>A</v>
      </c>
      <c r="F24" s="2" t="str">
        <f t="shared" ref="F24:F35" si="1">VLOOKUP(B24,$M$10:$N$18,2,FALSE)</f>
        <v>C</v>
      </c>
    </row>
    <row r="25" spans="1:14" ht="15" x14ac:dyDescent="0.25">
      <c r="A25" s="7">
        <v>10108</v>
      </c>
      <c r="B25" s="12">
        <v>10102</v>
      </c>
      <c r="C25" s="44">
        <f t="shared" ref="C24:C35" si="2">VLOOKUP(E25,$A$9:$J$18,MATCH(F25,$A$9:$J$9,0),FALSE)</f>
        <v>160</v>
      </c>
      <c r="E25" s="2" t="str">
        <f t="shared" si="0"/>
        <v>E</v>
      </c>
      <c r="F25" s="2" t="str">
        <f t="shared" si="1"/>
        <v>B</v>
      </c>
    </row>
    <row r="26" spans="1:14" ht="15" x14ac:dyDescent="0.25">
      <c r="A26" s="7">
        <v>10100</v>
      </c>
      <c r="B26" s="12">
        <v>10106</v>
      </c>
      <c r="C26" s="44">
        <f t="shared" si="2"/>
        <v>185</v>
      </c>
      <c r="E26" s="2" t="str">
        <f t="shared" si="0"/>
        <v>A</v>
      </c>
      <c r="F26" s="2" t="str">
        <f t="shared" si="1"/>
        <v>D</v>
      </c>
    </row>
    <row r="27" spans="1:14" ht="15" x14ac:dyDescent="0.25">
      <c r="A27" s="7">
        <v>10108</v>
      </c>
      <c r="B27" s="12">
        <v>10110</v>
      </c>
      <c r="C27" s="44">
        <f t="shared" si="2"/>
        <v>50</v>
      </c>
      <c r="E27" s="2" t="str">
        <f t="shared" si="0"/>
        <v>E</v>
      </c>
      <c r="F27" s="2" t="str">
        <f t="shared" si="1"/>
        <v>F</v>
      </c>
    </row>
    <row r="28" spans="1:14" ht="15" x14ac:dyDescent="0.25">
      <c r="A28" s="7">
        <v>10102</v>
      </c>
      <c r="B28" s="12">
        <v>10104</v>
      </c>
      <c r="C28" s="44">
        <f t="shared" si="2"/>
        <v>-1</v>
      </c>
      <c r="E28" s="2" t="str">
        <f t="shared" si="0"/>
        <v>B</v>
      </c>
      <c r="F28" s="2" t="str">
        <f t="shared" si="1"/>
        <v>C</v>
      </c>
    </row>
    <row r="29" spans="1:14" ht="15" x14ac:dyDescent="0.25">
      <c r="A29" s="7">
        <v>10106</v>
      </c>
      <c r="B29" s="12">
        <v>10108</v>
      </c>
      <c r="C29" s="44">
        <f t="shared" si="2"/>
        <v>70</v>
      </c>
      <c r="E29" s="2" t="str">
        <f t="shared" si="0"/>
        <v>D</v>
      </c>
      <c r="F29" s="2" t="str">
        <f t="shared" si="1"/>
        <v>E</v>
      </c>
    </row>
    <row r="30" spans="1:14" ht="15" x14ac:dyDescent="0.25">
      <c r="A30" s="7">
        <v>10102</v>
      </c>
      <c r="B30" s="12">
        <v>10106</v>
      </c>
      <c r="C30" s="44">
        <f t="shared" si="2"/>
        <v>90</v>
      </c>
      <c r="E30" s="2" t="str">
        <f t="shared" si="0"/>
        <v>B</v>
      </c>
      <c r="F30" s="2" t="str">
        <f t="shared" si="1"/>
        <v>D</v>
      </c>
    </row>
    <row r="31" spans="1:14" ht="15" x14ac:dyDescent="0.25">
      <c r="A31" s="7">
        <v>10110</v>
      </c>
      <c r="B31" s="12">
        <v>10114</v>
      </c>
      <c r="C31" s="44">
        <f t="shared" si="2"/>
        <v>180</v>
      </c>
      <c r="E31" s="2" t="str">
        <f t="shared" si="0"/>
        <v>F</v>
      </c>
      <c r="F31" s="2" t="str">
        <f t="shared" si="1"/>
        <v>H</v>
      </c>
    </row>
    <row r="32" spans="1:14" ht="15" x14ac:dyDescent="0.25">
      <c r="A32" s="7">
        <v>10104</v>
      </c>
      <c r="B32" s="12">
        <v>10106</v>
      </c>
      <c r="C32" s="44">
        <f t="shared" si="2"/>
        <v>60</v>
      </c>
      <c r="E32" s="2" t="str">
        <f t="shared" si="0"/>
        <v>C</v>
      </c>
      <c r="F32" s="2" t="str">
        <f t="shared" si="1"/>
        <v>D</v>
      </c>
    </row>
    <row r="33" spans="1:6" ht="15" x14ac:dyDescent="0.25">
      <c r="A33" s="7">
        <v>10110</v>
      </c>
      <c r="B33" s="12">
        <v>10112</v>
      </c>
      <c r="C33" s="44">
        <f t="shared" si="2"/>
        <v>115</v>
      </c>
      <c r="E33" s="2" t="str">
        <f t="shared" si="0"/>
        <v>F</v>
      </c>
      <c r="F33" s="2" t="str">
        <f t="shared" si="1"/>
        <v>G</v>
      </c>
    </row>
    <row r="34" spans="1:6" ht="15" x14ac:dyDescent="0.25">
      <c r="A34" s="7">
        <v>10100</v>
      </c>
      <c r="B34" s="12">
        <v>10114</v>
      </c>
      <c r="C34" s="44">
        <f t="shared" si="2"/>
        <v>480</v>
      </c>
      <c r="E34" s="2" t="str">
        <f t="shared" si="0"/>
        <v>A</v>
      </c>
      <c r="F34" s="2" t="str">
        <f t="shared" si="1"/>
        <v>H</v>
      </c>
    </row>
    <row r="35" spans="1:6" ht="15" x14ac:dyDescent="0.25">
      <c r="A35" s="9">
        <v>10112</v>
      </c>
      <c r="B35" s="13">
        <v>10116</v>
      </c>
      <c r="C35" s="44">
        <f t="shared" si="2"/>
        <v>105</v>
      </c>
      <c r="E35" s="2" t="str">
        <f t="shared" si="0"/>
        <v>G</v>
      </c>
      <c r="F35" s="2" t="str">
        <f t="shared" si="1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Ritvik Ramesh Kamath</cp:lastModifiedBy>
  <dcterms:created xsi:type="dcterms:W3CDTF">2015-02-10T17:33:11Z</dcterms:created>
  <dcterms:modified xsi:type="dcterms:W3CDTF">2023-12-09T20:44:38Z</dcterms:modified>
</cp:coreProperties>
</file>