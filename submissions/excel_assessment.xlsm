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ira\Downloads\"/>
    </mc:Choice>
  </mc:AlternateContent>
  <xr:revisionPtr revIDLastSave="0" documentId="13_ncr:1_{DA30891A-1962-46CA-BE16-F96DDACDEB4A}" xr6:coauthVersionLast="47" xr6:coauthVersionMax="47" xr10:uidLastSave="{00000000-0000-0000-0000-000000000000}"/>
  <bookViews>
    <workbookView xWindow="-108" yWindow="-108" windowWidth="23256" windowHeight="1317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E30" i="18"/>
  <c r="D30" i="18"/>
  <c r="C30" i="18"/>
  <c r="B30" i="18"/>
  <c r="F29" i="18"/>
  <c r="E29" i="18"/>
  <c r="D29" i="18"/>
  <c r="B29" i="18"/>
  <c r="F28" i="18"/>
  <c r="E28" i="18"/>
  <c r="D28" i="18"/>
  <c r="C28" i="18"/>
  <c r="C29" i="18"/>
  <c r="B28" i="18"/>
  <c r="F6" i="18" a="1"/>
  <c r="F6" i="18" s="1"/>
  <c r="E6" i="18" a="1"/>
  <c r="E6" i="18" s="1"/>
  <c r="D6" i="18" a="1"/>
  <c r="D6" i="18" s="1"/>
  <c r="C6" i="18" a="1"/>
  <c r="C6" i="18" s="1"/>
  <c r="B6" i="18" a="1"/>
  <c r="B6" i="18" s="1"/>
  <c r="C22" i="19" a="1"/>
  <c r="C22" i="19" s="1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<sst xmlns="http://schemas.openxmlformats.org/spreadsheetml/2006/main" count="404" uniqueCount="181">
  <si>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</si>
  <si>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</si>
  <si>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</si>
  <si>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</si>
  <si>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</si>
  <si>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</si>
  <si>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</si>
  <si>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</si>
  <si>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</si>
  <si>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</si>
  <si>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</si>
  <si>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</si>
  <si>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</si>
  <si>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</si>
  <si>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</si>
  <si>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</si>
  <si>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</si>
  <si>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</si>
  <si>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</si>
  <si>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</si>
  <si>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</si>
  <si>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</si>
  <si>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</si>
  <si>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</si>
  <si>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</si>
  <si>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</si>
  <si>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</si>
  <si>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</si>
  <si>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</si>
  <si>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</si>
  <si>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</si>
  <si>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</si>
  <si>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</si>
  <si>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</si>
  <si>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</si>
  <si>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</si>
  <si>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</si>
  <si>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</si>
  <si>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</si>
  <si>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</si>
  <si>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</si>
  <si>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</si>
  <si>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</si>
  <si>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</si>
  <si>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</si>
  <si>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</si>
  <si>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</si>
  <si>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</si>
  <si>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</si>
  <si>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</si>
  <si>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</si>
  <si>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</si>
  <si>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</si>
  <si>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</si>
  <si>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</si>
  <si>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</si>
  <si>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</si>
  <si>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</si>
  <si>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</si>
  <si>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</si>
  <si>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</si>
  <si>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</si>
  <si>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</si>
  <si>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</si>
  <si>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</si>
  <si>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</si>
  <si>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</si>
  <si>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</si>
  <si>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</si>
  <si>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</si>
  <si>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</si>
  <si>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</si>
  <si>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</si>
  <si>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</si>
  <si>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</si>
  <si>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</si>
  <si>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</si>
  <si>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</si>
  <si>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</si>
  <si>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</si>
  <si>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</si>
  <si>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</si>
  <si>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</si>
  <si>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</si>
  <si>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</si>
  <si>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</si>
  <si>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</si>
  <si>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</si>
  <si>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</si>
  <si>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</si>
  <si>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</si>
  <si>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</si>
  <si>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</si>
  <si>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</si>
  <si>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</si>
  <si>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</si>
  <si>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</si>
  <si>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</si>
  <si>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</si>
  <si>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</si>
  <si>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</si>
  <si>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</si>
  <si>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</si>
  <si>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</si>
  <si>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</si>
  <si>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</si>
  <si>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</si>
  <si>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</si>
  <si>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</si>
  <si>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</si>
  <si>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</si>
  <si>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</si>
  <si>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</si>
  <si>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</si>
  <si>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</si>
  <si>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</si>
  <si>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</si>
  <si>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</si>
  <si>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</si>
  <si>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</si>
  <si>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</si>
  <si>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</si>
  <si>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</si>
  <si>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</si>
  <si>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</si>
  <si>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</si>
  <si>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</si>
  <si>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</si>
  <si>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</si>
  <si>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</si>
  <si>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</si>
  <si>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</si>
  <si>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</si>
  <si>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</si>
  <si>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</si>
  <si>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</si>
  <si>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</si>
  <si>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</si>
  <si>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</si>
  <si>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</si>
  <si>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</si>
  <si>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</si>
  <si>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</si>
  <si>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</si>
  <si>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</si>
  <si>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</si>
  <si>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</si>
  <si>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</si>
  <si>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</si>
  <si>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</si>
  <si>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</si>
  <si>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</si>
  <si>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</si>
  <si>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</si>
  <si>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</si>
  <si>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</si>
  <si>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</si>
  <si>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</si>
  <si>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</si>
  <si>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</si>
  <si>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</si>
  <si>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</si>
  <si>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</si>
  <si>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</si>
  <si>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</si>
  <si>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</si>
  <si>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</si>
  <si>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</si>
  <si>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</si>
  <si>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</si>
  <si>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</si>
  <si>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</si>
  <si>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</si>
  <si>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</si>
  <si>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</si>
  <si>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</si>
  <si>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</si>
  <si>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=SUMIF(H2:H40,"&gt;20")</t>
  </si>
  <si>
    <t>I have used the functionality of Text to Columns in Data Tools. I selected all the values in A column and used '-' as delimeter and changed the destination to $B16.</t>
  </si>
  <si>
    <t>Formula: =SUM(IF(ISNA(C12:C21), 20, C12:C21))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</si>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</sst>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theme="5" tint="-0.2499465926084170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N1" sqref="N1:N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40">
    <cfRule type="cellIs" dxfId="1" priority="3" operator="equal">
      <formula>1</formula>
    </cfRule>
    <cfRule type="cellIs" dxfId="2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7"/>
  <sheetViews>
    <sheetView tabSelected="1" zoomScaleNormal="100" workbookViewId="0">
      <selection activeCell="B31" sqref="B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cm="1">
        <f t="array" ref="B6:B27">VLOOKUP(A6:A27, Dataset!A:V, 7, FALSE)</f>
        <v>2.7</v>
      </c>
      <c r="C6" s="12" cm="1">
        <f t="array" ref="C6:C27">VLOOKUP(A6:A27, Dataset!A:N, 14, FALSE)</f>
        <v>7.6</v>
      </c>
      <c r="D6" s="12" cm="1">
        <f t="array" ref="D6:D27">VLOOKUP(A6:A27, Dataset!A:R, 18, FALSE)</f>
        <v>4.2</v>
      </c>
      <c r="E6" s="12" cm="1">
        <f t="array" ref="E6:E27">VLOOKUP(A6:A27, Dataset!A:V, 20, FALSE)</f>
        <v>8.9</v>
      </c>
      <c r="F6" s="8" cm="1">
        <f t="array" ref="F6:F27">VLOOKUP(A6:A27, Dataset!A:V, 22, FALSE)</f>
        <v>4.2</v>
      </c>
    </row>
    <row r="7" spans="1:7" ht="14.4" x14ac:dyDescent="0.3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1">
        <f>MIN(_xlfn.ANCHORARRAY(B6))</f>
        <v>-1</v>
      </c>
      <c r="C28" s="31">
        <f>MIN(_xlfn.ANCHORARRAY(C6))</f>
        <v>-1</v>
      </c>
      <c r="D28" s="31">
        <f>MIN(_xlfn.ANCHORARRAY(D6))</f>
        <v>-1</v>
      </c>
      <c r="E28" s="31">
        <f>MIN(_xlfn.ANCHORARRAY(E6))</f>
        <v>-1</v>
      </c>
      <c r="F28" s="31">
        <f>MIN(_xlfn.ANCHORARRAY(F6))</f>
        <v>-1</v>
      </c>
    </row>
    <row r="29" spans="1:6" ht="14.4" x14ac:dyDescent="0.3">
      <c r="A29" s="19" t="s">
        <v>83</v>
      </c>
      <c r="B29" s="31">
        <f>MAX(_xlfn.ANCHORARRAY(B6))</f>
        <v>51.8</v>
      </c>
      <c r="C29" s="31">
        <f>MAX(_xlfn.ANCHORARRAY(C6))</f>
        <v>156.4</v>
      </c>
      <c r="D29" s="31">
        <f>MAX(_xlfn.ANCHORARRAY(D6))</f>
        <v>93.1</v>
      </c>
      <c r="E29" s="31">
        <f>MAX(_xlfn.ANCHORARRAY(E6))</f>
        <v>188.1</v>
      </c>
      <c r="F29" s="31">
        <f>MAX(_xlfn.ANCHORARRAY(F6))</f>
        <v>93.1</v>
      </c>
    </row>
    <row r="30" spans="1:6" ht="14.4" x14ac:dyDescent="0.3">
      <c r="A30" s="19" t="s">
        <v>84</v>
      </c>
      <c r="B30" s="31">
        <f>AVERAGE(_xlfn.ANCHORARRAY(B6))</f>
        <v>20.827272727272728</v>
      </c>
      <c r="C30" s="31">
        <f>AVERAGE(_xlfn.ANCHORARRAY(C6))</f>
        <v>62.377272727272725</v>
      </c>
      <c r="D30" s="31">
        <f>AVERAGE(_xlfn.ANCHORARRAY(D6))</f>
        <v>37.800000000000004</v>
      </c>
      <c r="E30" s="31">
        <f>AVERAGE(_xlfn.ANCHORARRAY(E6))</f>
        <v>76.418181818181822</v>
      </c>
      <c r="F30" s="31">
        <f>AVERAGE(_xlfn.ANCHORARRAY(F6))</f>
        <v>37.800000000000004</v>
      </c>
    </row>
    <row r="37" spans="2:2" x14ac:dyDescent="0.3">
      <c r="B37" s="2" t="s">
        <v>180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G16" sqref="G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0" sqref="D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Chirag Bansal</cp:lastModifiedBy>
  <dcterms:created xsi:type="dcterms:W3CDTF">2015-02-10T17:33:11Z</dcterms:created>
  <dcterms:modified xsi:type="dcterms:W3CDTF">2023-12-10T11:55:12Z</dcterms:modified>
</cp:coreProperties>
</file>