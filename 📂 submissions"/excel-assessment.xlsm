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0" yWindow="0" windowWidth="20490" windowHeight="676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l="1"/>
  <c r="C19" i="19"/>
  <c r="C21" i="19"/>
  <c r="C15" i="19"/>
  <c r="C13" i="19"/>
  <c r="F7" i="18" l="1"/>
  <c r="F8" i="18"/>
  <c r="F9" i="18"/>
  <c r="F10" i="18"/>
  <c r="F28" i="18" s="1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30" i="18" s="1"/>
  <c r="E7" i="18"/>
  <c r="E8" i="18"/>
  <c r="E9" i="18"/>
  <c r="E10" i="18"/>
  <c r="E28" i="18" s="1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24" i="18"/>
  <c r="D25" i="18"/>
  <c r="D26" i="18"/>
  <c r="D27" i="18"/>
  <c r="D18" i="18"/>
  <c r="D19" i="18"/>
  <c r="D20" i="18"/>
  <c r="D21" i="18"/>
  <c r="D22" i="18"/>
  <c r="D23" i="18"/>
  <c r="D7" i="18"/>
  <c r="D29" i="18" s="1"/>
  <c r="D8" i="18"/>
  <c r="D9" i="18"/>
  <c r="D10" i="18"/>
  <c r="D11" i="18"/>
  <c r="D12" i="18"/>
  <c r="D13" i="18"/>
  <c r="D14" i="18"/>
  <c r="D15" i="18"/>
  <c r="D16" i="18"/>
  <c r="D17" i="18"/>
  <c r="D6" i="18"/>
  <c r="D28" i="18" s="1"/>
  <c r="C7" i="18"/>
  <c r="C8" i="18"/>
  <c r="C9" i="18"/>
  <c r="C28" i="18" s="1"/>
  <c r="C10" i="18"/>
  <c r="C30" i="18" s="1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6" i="18"/>
  <c r="B29" i="18" s="1"/>
  <c r="B7" i="18"/>
  <c r="B28" i="18" s="1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5" i="1"/>
  <c r="E29" i="18" l="1"/>
  <c r="B30" i="18"/>
  <c r="E30" i="18"/>
  <c r="F29" i="18"/>
  <c r="D30" i="18"/>
</calcChain>
</file>

<file path=xl/sharedStrings.xml><?xml version="1.0" encoding="utf-8"?>
<sst xmlns="http://schemas.openxmlformats.org/spreadsheetml/2006/main" count="407" uniqueCount="189">
  <si>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</si>
  <si>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</si>
  <si>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</si>
  <si>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</si>
  <si>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</si>
  <si>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</si>
  <si>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</si>
  <si>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</si>
  <si>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</si>
  <si>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</si>
  <si>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</si>
  <si>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</si>
  <si>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</si>
  <si>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</si>
  <si>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</si>
  <si>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</si>
  <si>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</si>
  <si>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</si>
  <si>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</si>
  <si>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</si>
  <si>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</si>
  <si>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</si>
  <si>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</si>
  <si>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</si>
  <si>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</si>
  <si>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</si>
  <si>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</si>
  <si>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</si>
  <si>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</si>
  <si>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</si>
  <si>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</si>
  <si>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</si>
  <si>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</si>
  <si>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</si>
  <si>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</si>
  <si>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</si>
  <si>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</si>
  <si>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</si>
  <si>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</si>
  <si>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</si>
  <si>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</si>
  <si>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</si>
  <si>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</si>
  <si>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</si>
  <si>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</si>
  <si>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</si>
  <si>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</si>
  <si>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</si>
  <si>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</si>
  <si>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</si>
  <si>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</si>
  <si>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</si>
  <si>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</si>
  <si>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</si>
  <si>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</si>
  <si>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</si>
  <si>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</si>
  <si>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</si>
  <si>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</si>
  <si>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</si>
  <si>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</si>
  <si>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</si>
  <si>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</si>
  <si>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</si>
  <si>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</si>
  <si>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</si>
  <si>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</si>
  <si>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</si>
  <si>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</si>
  <si>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</si>
  <si>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</si>
  <si>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</si>
  <si>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</si>
  <si>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</si>
  <si>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</si>
  <si>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</si>
  <si>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</si>
  <si>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</si>
  <si>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</si>
  <si>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</si>
  <si>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</si>
  <si>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</si>
  <si>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</si>
  <si>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</si>
  <si>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</si>
  <si>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</si>
  <si>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</si>
  <si>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</si>
  <si>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</si>
  <si>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</si>
  <si>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</si>
  <si>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</si>
  <si>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</si>
  <si>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</si>
  <si>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</si>
  <si>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</si>
  <si>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</si>
  <si>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</si>
  <si>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</si>
  <si>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</si>
  <si>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</si>
  <si>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</si>
  <si>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</si>
  <si>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</si>
  <si>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</si>
  <si>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</si>
  <si>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</si>
  <si>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</si>
  <si>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</si>
  <si>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</si>
  <si>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</si>
  <si>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</si>
  <si>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</si>
  <si>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</si>
  <si>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</si>
  <si>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</si>
  <si>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</si>
  <si>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</si>
  <si>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</si>
  <si>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</si>
  <si>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</si>
  <si>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</si>
  <si>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</si>
  <si>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</si>
  <si>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</si>
  <si>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</si>
  <si>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</si>
  <si>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</si>
  <si>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</si>
  <si>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</si>
  <si>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</si>
  <si>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</si>
  <si>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</si>
  <si>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</si>
  <si>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</si>
  <si>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</si>
  <si>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</si>
  <si>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</si>
  <si>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</si>
  <si>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</si>
  <si>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</si>
  <si>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</si>
  <si>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</si>
  <si>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</si>
  <si>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</si>
  <si>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</si>
  <si>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</si>
  <si>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</si>
  <si>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</si>
  <si>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</si>
  <si>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</si>
  <si>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</si>
  <si>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</si>
  <si>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</si>
  <si>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</si>
  <si>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</si>
  <si>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</si>
  <si>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</si>
  <si>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</si>
  <si>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</si>
  <si>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</si>
  <si>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</si>
  <si>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</si>
  <si>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</si>
  <si>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</si>
  <si>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</si>
  <si>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</si>
  <si>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</si>
  <si>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</si>
  <si>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</si>
  <si>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</si>
  <si>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</si>
  <si>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</si>
  <si>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</si>
  <si>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</si>
  <si>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</si>
  <si>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</si>
  <si>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SUMIF(H1:H40,"&gt;20",H1:H40)</t>
  </si>
  <si>
    <t>Tuesday</t>
  </si>
  <si>
    <t>Wednesday</t>
  </si>
  <si>
    <t>Thursday</t>
  </si>
  <si>
    <t>Friday</t>
  </si>
  <si>
    <t>Saturday</t>
  </si>
  <si>
    <t xml:space="preserve">Used inbuilt function text to columns </t>
  </si>
  <si>
    <t>I used inbuilt function text to columns in that fixed width is used because data will be fitted column only</t>
  </si>
  <si>
    <t xml:space="preserve">   used inbuilt function iferror</t>
  </si>
  <si>
    <t xml:space="preserve">used iferror function because it was easy to substitue na values with value 20 </t>
  </si>
  <si>
    <t>USED VLOOKUP FUNCTION</t>
  </si>
  <si>
    <t>I USED VLOOKUP FUNCTION BUT I NOT GOT THE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</si>
</sst>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 applyAlignment="1">
      <alignment vertical="center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5"/>
  <sheetViews>
    <sheetView zoomScaleNormal="100" workbookViewId="0">
      <pane ySplit="1" topLeftCell="A32" activePane="bottomLeft" state="frozen"/>
      <selection pane="bottomLeft" activeCell="G41" sqref="G4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5.5" style="43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2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5" spans="1:24" x14ac:dyDescent="0.25">
      <c r="H45" s="1">
        <f>SUMIF(H1:H40,"&gt;20",H1:H40)</f>
        <v>1473.0000000000002</v>
      </c>
    </row>
  </sheetData>
  <conditionalFormatting sqref="G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28.83203125" style="1" bestFit="1" customWidth="1"/>
    <col min="4" max="4" width="11.33203125" style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 t="s">
        <v>177</v>
      </c>
      <c r="D5" s="1">
        <v>1473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>
        <f>VLOOKUP(A6,Dataset!$A:$G,7,FALSE)</f>
        <v>2.7</v>
      </c>
      <c r="C6" s="11">
        <f>VLOOKUP(A6,Dataset!$A:$N,14,FALSE)</f>
        <v>7.6</v>
      </c>
      <c r="D6" s="11">
        <f>VLOOKUP(A6,Dataset!$A:$R,18,FALSE)</f>
        <v>4.2</v>
      </c>
      <c r="E6" s="11">
        <f>VLOOKUP(A6,Dataset!$A:$T,20,FALSE)</f>
        <v>8.9</v>
      </c>
      <c r="F6" s="8">
        <f>VLOOKUP(A6,Dataset!$A:$U,21,FALSE)</f>
        <v>3.6</v>
      </c>
    </row>
    <row r="7" spans="1:7" ht="15" x14ac:dyDescent="0.25">
      <c r="A7" s="7" t="s">
        <v>4</v>
      </c>
      <c r="B7">
        <f>VLOOKUP(A7,Dataset!$A:$G,7,FALSE)</f>
        <v>2.7</v>
      </c>
      <c r="C7" s="11">
        <f>VLOOKUP(A7,Dataset!$A:$N,14,FALSE)</f>
        <v>7.6</v>
      </c>
      <c r="D7" s="11">
        <f>VLOOKUP(A7,Dataset!$A:$R,18,FALSE)</f>
        <v>4.2</v>
      </c>
      <c r="E7" s="11">
        <f>VLOOKUP(A7,Dataset!$A:$T,20,FALSE)</f>
        <v>8.9</v>
      </c>
      <c r="F7" s="8">
        <f>VLOOKUP(A7,Dataset!$A:$U,21,FALSE)</f>
        <v>3.6</v>
      </c>
    </row>
    <row r="8" spans="1:7" ht="15" x14ac:dyDescent="0.25">
      <c r="A8" s="7" t="s">
        <v>7</v>
      </c>
      <c r="B8">
        <f>VLOOKUP(A8,Dataset!$A:$G,7,FALSE)</f>
        <v>3.6</v>
      </c>
      <c r="C8" s="11">
        <f>VLOOKUP(A8,Dataset!$A:$N,14,FALSE)</f>
        <v>11.1</v>
      </c>
      <c r="D8" s="11">
        <f>VLOOKUP(A8,Dataset!$A:$R,18,FALSE)</f>
        <v>5.8</v>
      </c>
      <c r="E8" s="11">
        <f>VLOOKUP(A8,Dataset!$A:$T,20,FALSE)</f>
        <v>12.2</v>
      </c>
      <c r="F8" s="8">
        <f>VLOOKUP(A8,Dataset!$A:$U,21,FALSE)</f>
        <v>5.4</v>
      </c>
    </row>
    <row r="9" spans="1:7" ht="15" x14ac:dyDescent="0.25">
      <c r="A9" s="7" t="s">
        <v>8</v>
      </c>
      <c r="B9">
        <f>VLOOKUP(A9,Dataset!$A:$G,7,FALSE)</f>
        <v>4.9000000000000004</v>
      </c>
      <c r="C9" s="11">
        <f>VLOOKUP(A9,Dataset!$A:$N,14,FALSE)</f>
        <v>13.3</v>
      </c>
      <c r="D9" s="11">
        <f>VLOOKUP(A9,Dataset!$A:$R,18,FALSE)</f>
        <v>8.1</v>
      </c>
      <c r="E9" s="11">
        <f>VLOOKUP(A9,Dataset!$A:$T,20,FALSE)</f>
        <v>17</v>
      </c>
      <c r="F9" s="8">
        <f>VLOOKUP(A9,Dataset!$A:$U,21,FALSE)</f>
        <v>6.6</v>
      </c>
    </row>
    <row r="10" spans="1:7" ht="15" x14ac:dyDescent="0.25">
      <c r="A10" s="7" t="s">
        <v>11</v>
      </c>
      <c r="B10">
        <f>VLOOKUP(A10,Dataset!$A:$G,7,FALSE)</f>
        <v>9.4</v>
      </c>
      <c r="C10" s="11">
        <f>VLOOKUP(A10,Dataset!$A:$N,14,FALSE)</f>
        <v>28.3</v>
      </c>
      <c r="D10" s="11">
        <f>VLOOKUP(A10,Dataset!$A:$R,18,FALSE)</f>
        <v>16.100000000000001</v>
      </c>
      <c r="E10" s="11">
        <f>VLOOKUP(A10,Dataset!$A:$T,20,FALSE)</f>
        <v>32.799999999999997</v>
      </c>
      <c r="F10" s="8">
        <f>VLOOKUP(A10,Dataset!$A:$U,21,FALSE)</f>
        <v>13.8</v>
      </c>
    </row>
    <row r="11" spans="1:7" ht="15" x14ac:dyDescent="0.25">
      <c r="A11" s="7" t="s">
        <v>12</v>
      </c>
      <c r="B11">
        <f>VLOOKUP(A11,Dataset!$A:$G,7,FALSE)</f>
        <v>11.6</v>
      </c>
      <c r="C11" s="11">
        <f>VLOOKUP(A11,Dataset!$A:$N,14,FALSE)</f>
        <v>35.200000000000003</v>
      </c>
      <c r="D11" s="11">
        <f>VLOOKUP(A11,Dataset!$A:$R,18,FALSE)</f>
        <v>21.3</v>
      </c>
      <c r="E11" s="11">
        <f>VLOOKUP(A11,Dataset!$A:$T,20,FALSE)</f>
        <v>43</v>
      </c>
      <c r="F11" s="8">
        <f>VLOOKUP(A11,Dataset!$A:$U,21,FALSE)</f>
        <v>17.3</v>
      </c>
    </row>
    <row r="12" spans="1:7" ht="15" x14ac:dyDescent="0.25">
      <c r="A12" s="7" t="s">
        <v>14</v>
      </c>
      <c r="B12">
        <f>VLOOKUP(A12,Dataset!$A:$G,7,FALSE)</f>
        <v>18.399999999999999</v>
      </c>
      <c r="C12" s="11">
        <f>VLOOKUP(A12,Dataset!$A:$N,14,FALSE)</f>
        <v>55.6</v>
      </c>
      <c r="D12" s="11">
        <f>VLOOKUP(A12,Dataset!$A:$R,18,FALSE)</f>
        <v>33.799999999999997</v>
      </c>
      <c r="E12" s="11">
        <f>VLOOKUP(A12,Dataset!$A:$T,20,FALSE)</f>
        <v>67.900000000000006</v>
      </c>
      <c r="F12" s="8">
        <f>VLOOKUP(A12,Dataset!$A:$U,21,FALSE)</f>
        <v>27.5</v>
      </c>
    </row>
    <row r="13" spans="1:7" ht="15" x14ac:dyDescent="0.25">
      <c r="A13" s="7" t="s">
        <v>15</v>
      </c>
      <c r="B13">
        <f>VLOOKUP(A13,Dataset!$A:$G,7,FALSE)</f>
        <v>0</v>
      </c>
      <c r="C13" s="11">
        <f>VLOOKUP(A13,Dataset!$A:$N,14,FALSE)</f>
        <v>0</v>
      </c>
      <c r="D13" s="11">
        <f>VLOOKUP(A13,Dataset!$A:$R,18,FALSE)</f>
        <v>0</v>
      </c>
      <c r="E13" s="11">
        <f>VLOOKUP(A13,Dataset!$A:$T,20,FALSE)</f>
        <v>0</v>
      </c>
      <c r="F13" s="8">
        <f>VLOOKUP(A13,Dataset!$A:$U,21,FALSE)</f>
        <v>0</v>
      </c>
    </row>
    <row r="14" spans="1:7" ht="15" x14ac:dyDescent="0.25">
      <c r="A14" s="7" t="s">
        <v>16</v>
      </c>
      <c r="B14">
        <f>VLOOKUP(A14,Dataset!$A:$G,7,FALSE)</f>
        <v>21.9</v>
      </c>
      <c r="C14" s="11">
        <f>VLOOKUP(A14,Dataset!$A:$N,14,FALSE)</f>
        <v>61.5</v>
      </c>
      <c r="D14" s="11">
        <f>VLOOKUP(A14,Dataset!$A:$R,18,FALSE)</f>
        <v>40.1</v>
      </c>
      <c r="E14" s="11">
        <f>VLOOKUP(A14,Dataset!$A:$T,20,FALSE)</f>
        <v>76.599999999999994</v>
      </c>
      <c r="F14" s="8">
        <f>VLOOKUP(A14,Dataset!$A:$U,21,FALSE)</f>
        <v>32.1</v>
      </c>
    </row>
    <row r="15" spans="1:7" ht="15" x14ac:dyDescent="0.25">
      <c r="A15" s="7" t="s">
        <v>18</v>
      </c>
      <c r="B15">
        <f>VLOOKUP(A15,Dataset!$A:$G,7,FALSE)</f>
        <v>26.8</v>
      </c>
      <c r="C15" s="11">
        <f>VLOOKUP(A15,Dataset!$A:$N,14,FALSE)</f>
        <v>79.599999999999994</v>
      </c>
      <c r="D15" s="11">
        <f>VLOOKUP(A15,Dataset!$A:$R,18,FALSE)</f>
        <v>47.9</v>
      </c>
      <c r="E15" s="11">
        <f>VLOOKUP(A15,Dataset!$A:$T,20,FALSE)</f>
        <v>96.8</v>
      </c>
      <c r="F15" s="8">
        <f>VLOOKUP(A15,Dataset!$A:$U,21,FALSE)</f>
        <v>39.299999999999997</v>
      </c>
    </row>
    <row r="16" spans="1:7" ht="15" x14ac:dyDescent="0.25">
      <c r="A16" s="7" t="s">
        <v>20</v>
      </c>
      <c r="B16">
        <f>VLOOKUP(A16,Dataset!$A:$G,7,FALSE)</f>
        <v>28.5</v>
      </c>
      <c r="C16" s="11">
        <f>VLOOKUP(A16,Dataset!$A:$N,14,FALSE)</f>
        <v>85.4</v>
      </c>
      <c r="D16" s="11">
        <f>VLOOKUP(A16,Dataset!$A:$R,18,FALSE)</f>
        <v>52.3</v>
      </c>
      <c r="E16" s="11">
        <f>VLOOKUP(A16,Dataset!$A:$T,20,FALSE)</f>
        <v>106.1</v>
      </c>
      <c r="F16" s="8">
        <f>VLOOKUP(A16,Dataset!$A:$U,21,FALSE)</f>
        <v>42.3</v>
      </c>
    </row>
    <row r="17" spans="1:6" ht="15" x14ac:dyDescent="0.25">
      <c r="A17" s="7" t="s">
        <v>22</v>
      </c>
      <c r="B17">
        <f>VLOOKUP(A17,Dataset!$A:$G,7,FALSE)</f>
        <v>30.7</v>
      </c>
      <c r="C17" s="11">
        <f>VLOOKUP(A17,Dataset!$A:$N,14,FALSE)</f>
        <v>92.1</v>
      </c>
      <c r="D17" s="11">
        <f>VLOOKUP(A17,Dataset!$A:$R,18,FALSE)</f>
        <v>57</v>
      </c>
      <c r="E17" s="11">
        <f>VLOOKUP(A17,Dataset!$A:$T,20,FALSE)</f>
        <v>115.1</v>
      </c>
      <c r="F17" s="8">
        <f>VLOOKUP(A17,Dataset!$A:$U,21,FALSE)</f>
        <v>45.5</v>
      </c>
    </row>
    <row r="18" spans="1:6" ht="15" x14ac:dyDescent="0.25">
      <c r="A18" s="7" t="s">
        <v>23</v>
      </c>
      <c r="B18">
        <f>VLOOKUP(A18,Dataset!$A:$G,7,FALSE)</f>
        <v>33.799999999999997</v>
      </c>
      <c r="C18" s="11">
        <f>VLOOKUP(A18,Dataset!$A:$N,14,FALSE)</f>
        <v>101.3</v>
      </c>
      <c r="D18" s="11">
        <f>VLOOKUP(A18,Dataset!$A:$R,18,FALSE)</f>
        <v>61.4</v>
      </c>
      <c r="E18" s="11">
        <f>VLOOKUP(A18,Dataset!$A:$T,20,FALSE)</f>
        <v>124.4</v>
      </c>
      <c r="F18" s="8">
        <f>VLOOKUP(A18,Dataset!$A:$U,21,FALSE)</f>
        <v>50.1</v>
      </c>
    </row>
    <row r="19" spans="1:6" ht="15" x14ac:dyDescent="0.25">
      <c r="A19" s="7" t="s">
        <v>24</v>
      </c>
      <c r="B19">
        <f>VLOOKUP(A19,Dataset!$A:$G,7,FALSE)</f>
        <v>34.700000000000003</v>
      </c>
      <c r="C19" s="11">
        <f>VLOOKUP(A19,Dataset!$A:$N,14,FALSE)</f>
        <v>106.1</v>
      </c>
      <c r="D19" s="11">
        <f>VLOOKUP(A19,Dataset!$A:$R,18,FALSE)</f>
        <v>63.6</v>
      </c>
      <c r="E19" s="11">
        <f>VLOOKUP(A19,Dataset!$A:$T,20,FALSE)</f>
        <v>128.6</v>
      </c>
      <c r="F19" s="8">
        <f>VLOOKUP(A19,Dataset!$A:$U,21,FALSE)</f>
        <v>52.3</v>
      </c>
    </row>
    <row r="20" spans="1:6" ht="15" x14ac:dyDescent="0.25">
      <c r="A20" s="7" t="s">
        <v>28</v>
      </c>
      <c r="B20">
        <f>VLOOKUP(A20,Dataset!$A:$G,7,FALSE)</f>
        <v>0</v>
      </c>
      <c r="C20" s="11">
        <f>VLOOKUP(A20,Dataset!$A:$N,14,FALSE)</f>
        <v>0</v>
      </c>
      <c r="D20" s="11">
        <f>VLOOKUP(A20,Dataset!$A:$R,18,FALSE)</f>
        <v>0</v>
      </c>
      <c r="E20" s="11">
        <f>VLOOKUP(A20,Dataset!$A:$T,20,FALSE)</f>
        <v>0</v>
      </c>
      <c r="F20" s="8">
        <f>VLOOKUP(A20,Dataset!$A:$U,21,FALSE)</f>
        <v>0</v>
      </c>
    </row>
    <row r="21" spans="1:6" ht="15" x14ac:dyDescent="0.25">
      <c r="A21" s="7" t="s">
        <v>57</v>
      </c>
      <c r="B21">
        <f>VLOOKUP(A21,Dataset!$A:$G,7,FALSE)</f>
        <v>41.3</v>
      </c>
      <c r="C21" s="11">
        <f>VLOOKUP(A21,Dataset!$A:$N,14,FALSE)</f>
        <v>124.4</v>
      </c>
      <c r="D21" s="11">
        <f>VLOOKUP(A21,Dataset!$A:$R,18,FALSE)</f>
        <v>75</v>
      </c>
      <c r="E21" s="11">
        <f>VLOOKUP(A21,Dataset!$A:$T,20,FALSE)</f>
        <v>151.5</v>
      </c>
      <c r="F21" s="8">
        <f>VLOOKUP(A21,Dataset!$A:$U,21,FALSE)</f>
        <v>61.4</v>
      </c>
    </row>
    <row r="22" spans="1:6" ht="15" x14ac:dyDescent="0.25">
      <c r="A22" s="7" t="s">
        <v>58</v>
      </c>
      <c r="B22">
        <f>VLOOKUP(A22,Dataset!$A:$G,7,FALSE)</f>
        <v>-1</v>
      </c>
      <c r="C22" s="11">
        <f>VLOOKUP(A22,Dataset!$A:$N,14,FALSE)</f>
        <v>-1</v>
      </c>
      <c r="D22" s="11">
        <f>VLOOKUP(A22,Dataset!$A:$R,18,FALSE)</f>
        <v>-1</v>
      </c>
      <c r="E22" s="11">
        <f>VLOOKUP(A22,Dataset!$A:$T,20,FALSE)</f>
        <v>-1</v>
      </c>
      <c r="F22" s="8">
        <f>VLOOKUP(A22,Dataset!$A:$U,21,FALSE)</f>
        <v>-1</v>
      </c>
    </row>
    <row r="23" spans="1:6" ht="15" x14ac:dyDescent="0.25">
      <c r="A23" s="7" t="s">
        <v>31</v>
      </c>
      <c r="B23">
        <f>VLOOKUP(A23,Dataset!$A:$G,7,FALSE)</f>
        <v>45</v>
      </c>
      <c r="C23" s="11">
        <f>VLOOKUP(A23,Dataset!$A:$N,14,FALSE)</f>
        <v>133.4</v>
      </c>
      <c r="D23" s="11">
        <f>VLOOKUP(A23,Dataset!$A:$R,18,FALSE)</f>
        <v>79.400000000000006</v>
      </c>
      <c r="E23" s="11">
        <f>VLOOKUP(A23,Dataset!$A:$T,20,FALSE)</f>
        <v>160.9</v>
      </c>
      <c r="F23" s="8">
        <f>VLOOKUP(A23,Dataset!$A:$U,21,FALSE)</f>
        <v>65.900000000000006</v>
      </c>
    </row>
    <row r="24" spans="1:6" ht="15" x14ac:dyDescent="0.25">
      <c r="A24" s="7" t="s">
        <v>32</v>
      </c>
      <c r="B24">
        <f>VLOOKUP(A24,Dataset!$A:$G,7,FALSE)</f>
        <v>-1</v>
      </c>
      <c r="C24" s="11">
        <f>VLOOKUP(A24,Dataset!$A:$N,14,FALSE)</f>
        <v>-1</v>
      </c>
      <c r="D24" s="11">
        <f>VLOOKUP(A24,Dataset!$A:$R,18,FALSE)</f>
        <v>-1</v>
      </c>
      <c r="E24" s="11">
        <f>VLOOKUP(A24,Dataset!$A:$T,20,FALSE)</f>
        <v>-1</v>
      </c>
      <c r="F24" s="8">
        <f>VLOOKUP(A24,Dataset!$A:$U,21,FALSE)</f>
        <v>-1</v>
      </c>
    </row>
    <row r="25" spans="1:6" ht="15" x14ac:dyDescent="0.25">
      <c r="A25" s="7" t="s">
        <v>34</v>
      </c>
      <c r="B25">
        <f>VLOOKUP(A25,Dataset!$A:$G,7,FALSE)</f>
        <v>43.3</v>
      </c>
      <c r="C25" s="11">
        <f>VLOOKUP(A25,Dataset!$A:$N,14,FALSE)</f>
        <v>128.6</v>
      </c>
      <c r="D25" s="11">
        <f>VLOOKUP(A25,Dataset!$A:$R,18,FALSE)</f>
        <v>79.400000000000006</v>
      </c>
      <c r="E25" s="11">
        <f>VLOOKUP(A25,Dataset!$A:$T,20,FALSE)</f>
        <v>160.9</v>
      </c>
      <c r="F25" s="8">
        <f>VLOOKUP(A25,Dataset!$A:$U,21,FALSE)</f>
        <v>63.6</v>
      </c>
    </row>
    <row r="26" spans="1:6" ht="15" x14ac:dyDescent="0.25">
      <c r="A26" s="7" t="s">
        <v>37</v>
      </c>
      <c r="B26">
        <f>VLOOKUP(A26,Dataset!$A:$G,7,FALSE)</f>
        <v>49.1</v>
      </c>
      <c r="C26" s="11">
        <f>VLOOKUP(A26,Dataset!$A:$N,14,FALSE)</f>
        <v>146.80000000000001</v>
      </c>
      <c r="D26" s="11">
        <f>VLOOKUP(A26,Dataset!$A:$R,18,FALSE)</f>
        <v>90.9</v>
      </c>
      <c r="E26" s="11">
        <f>VLOOKUP(A26,Dataset!$A:$T,20,FALSE)</f>
        <v>183.5</v>
      </c>
      <c r="F26" s="8">
        <f>VLOOKUP(A26,Dataset!$A:$U,21,FALSE)</f>
        <v>72.8</v>
      </c>
    </row>
    <row r="27" spans="1:6" ht="15" x14ac:dyDescent="0.25">
      <c r="A27" s="7" t="s">
        <v>39</v>
      </c>
      <c r="B27">
        <f>VLOOKUP(A27,Dataset!$A:$G,7,FALSE)</f>
        <v>51.8</v>
      </c>
      <c r="C27" s="11">
        <f>VLOOKUP(A27,Dataset!$A:$N,14,FALSE)</f>
        <v>156.4</v>
      </c>
      <c r="D27" s="11">
        <f>VLOOKUP(A27,Dataset!$A:$R,18,FALSE)</f>
        <v>93.1</v>
      </c>
      <c r="E27" s="11">
        <f>VLOOKUP(A27,Dataset!$A:$T,20,FALSE)</f>
        <v>188.1</v>
      </c>
      <c r="F27" s="8">
        <f>VLOOKUP(A27,Dataset!$A:$U,21,FALSE)</f>
        <v>77.2</v>
      </c>
    </row>
    <row r="28" spans="1:6" ht="15" x14ac:dyDescent="0.25">
      <c r="A28" s="18" t="s">
        <v>82</v>
      </c>
      <c r="B28">
        <f>MIN(B5:B27)</f>
        <v>-1</v>
      </c>
      <c r="C28">
        <f>MIN(C5:C27)</f>
        <v>-1</v>
      </c>
      <c r="D28">
        <f>MIN(D5:D27)</f>
        <v>-1</v>
      </c>
      <c r="E28">
        <f>MIN(E5:E27)</f>
        <v>-1</v>
      </c>
      <c r="F28">
        <f>MIN(F5:F27)</f>
        <v>-1</v>
      </c>
    </row>
    <row r="29" spans="1:6" ht="15" x14ac:dyDescent="0.25">
      <c r="A29" s="18" t="s">
        <v>83</v>
      </c>
      <c r="B29">
        <f>MAX(B5:B27)</f>
        <v>51.8</v>
      </c>
      <c r="C29">
        <f>MAX(C5:C27)</f>
        <v>156.4</v>
      </c>
      <c r="D29">
        <f>MAX(D5:D27)</f>
        <v>93.1</v>
      </c>
      <c r="E29">
        <f>MAX(E6:E28)</f>
        <v>188.1</v>
      </c>
      <c r="F29">
        <f>MAX(F6:F28)</f>
        <v>77.2</v>
      </c>
    </row>
    <row r="30" spans="1:6" ht="15" x14ac:dyDescent="0.25">
      <c r="A30" s="18" t="s">
        <v>84</v>
      </c>
      <c r="B30">
        <f>AVERAGE(B6:B27)</f>
        <v>20.827272727272728</v>
      </c>
      <c r="C30">
        <f>AVERAGE(C6:C27)</f>
        <v>62.377272727272725</v>
      </c>
      <c r="D30">
        <f>AVERAGE(D6:D27)</f>
        <v>37.800000000000004</v>
      </c>
      <c r="E30">
        <f>AVERAGE(E6:E27)</f>
        <v>76.418181818181822</v>
      </c>
      <c r="F30">
        <f>AVERAGE(F6:F27)</f>
        <v>30.831818181818186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2" width="11" style="1"/>
    <col min="3" max="3" width="13.5" style="1" bestFit="1" customWidth="1"/>
    <col min="4" max="4" width="12.6640625" style="1" customWidth="1"/>
    <col min="5" max="5" width="14.83203125" style="1" customWidth="1"/>
    <col min="6" max="6" width="12.1640625" style="1" customWidth="1"/>
    <col min="7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183</v>
      </c>
    </row>
    <row r="6" spans="1:10" ht="18.75" x14ac:dyDescent="0.3">
      <c r="A6" s="41" t="s">
        <v>153</v>
      </c>
      <c r="B6" s="38" t="s">
        <v>184</v>
      </c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178</v>
      </c>
      <c r="D17" s="11">
        <v>0</v>
      </c>
      <c r="E17" s="1" t="s">
        <v>5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179</v>
      </c>
      <c r="D18" s="11">
        <v>0</v>
      </c>
      <c r="E18" s="1" t="s">
        <v>178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180</v>
      </c>
      <c r="D19" s="11">
        <v>0</v>
      </c>
      <c r="E19" s="1" t="s">
        <v>179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181</v>
      </c>
      <c r="D20" s="11">
        <v>0</v>
      </c>
      <c r="E20" s="1" t="s">
        <v>180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182</v>
      </c>
      <c r="D21" s="11">
        <v>0</v>
      </c>
      <c r="E21" s="1" t="s">
        <v>181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6</v>
      </c>
      <c r="D22" s="11">
        <v>0</v>
      </c>
      <c r="E22" s="1" t="s">
        <v>182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178</v>
      </c>
      <c r="D24" s="11">
        <v>0</v>
      </c>
      <c r="E24" s="1" t="s">
        <v>5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179</v>
      </c>
      <c r="D25" s="11">
        <v>0</v>
      </c>
      <c r="E25" s="1" t="s">
        <v>178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180</v>
      </c>
      <c r="D26" s="11">
        <v>0</v>
      </c>
      <c r="E26" s="1" t="s">
        <v>179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181</v>
      </c>
      <c r="D27" s="11">
        <v>0</v>
      </c>
      <c r="E27" s="1" t="s">
        <v>180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182</v>
      </c>
      <c r="D28" s="11">
        <v>0</v>
      </c>
      <c r="E28" s="1" t="s">
        <v>181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6</v>
      </c>
      <c r="D29" s="11">
        <v>0</v>
      </c>
      <c r="E29" s="1" t="s">
        <v>182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178</v>
      </c>
      <c r="D31" s="11">
        <v>0</v>
      </c>
      <c r="E31" s="1" t="s">
        <v>5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179</v>
      </c>
      <c r="D32" s="11">
        <v>0</v>
      </c>
      <c r="E32" s="1" t="s">
        <v>178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180</v>
      </c>
      <c r="D33" s="11">
        <v>0</v>
      </c>
      <c r="E33" s="1" t="s">
        <v>179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181</v>
      </c>
      <c r="D34" s="11">
        <v>0</v>
      </c>
      <c r="E34" s="1" t="s">
        <v>180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182</v>
      </c>
      <c r="D35" s="11">
        <v>0</v>
      </c>
      <c r="E35" s="1" t="s">
        <v>181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6</v>
      </c>
      <c r="D36" s="11">
        <v>0</v>
      </c>
      <c r="E36" s="1" t="s">
        <v>182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178</v>
      </c>
      <c r="D38" s="11">
        <v>0</v>
      </c>
      <c r="E38" s="1" t="s">
        <v>5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179</v>
      </c>
      <c r="D39" s="11">
        <v>0</v>
      </c>
      <c r="E39" s="1" t="s">
        <v>178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180</v>
      </c>
      <c r="D40" s="11">
        <v>0</v>
      </c>
      <c r="E40" s="1" t="s">
        <v>179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181</v>
      </c>
      <c r="D41" s="11">
        <v>0</v>
      </c>
      <c r="E41" s="1" t="s">
        <v>180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182</v>
      </c>
      <c r="D42" s="11">
        <v>0</v>
      </c>
      <c r="E42" s="1" t="s">
        <v>181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6</v>
      </c>
      <c r="D43" s="11">
        <v>0</v>
      </c>
      <c r="E43" s="1" t="s">
        <v>182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178</v>
      </c>
      <c r="D45" s="11">
        <v>0</v>
      </c>
      <c r="E45" s="1" t="s">
        <v>5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179</v>
      </c>
      <c r="D46" s="11">
        <v>0</v>
      </c>
      <c r="E46" s="1" t="s">
        <v>178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180</v>
      </c>
      <c r="D47" s="11">
        <v>0</v>
      </c>
      <c r="E47" s="1" t="s">
        <v>179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181</v>
      </c>
      <c r="D48" s="11">
        <v>0</v>
      </c>
      <c r="E48" s="1" t="s">
        <v>180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182</v>
      </c>
      <c r="D49" s="11">
        <v>0</v>
      </c>
      <c r="E49" s="1" t="s">
        <v>181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6</v>
      </c>
      <c r="D50" s="11">
        <v>0</v>
      </c>
      <c r="E50" s="1" t="s">
        <v>182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178</v>
      </c>
      <c r="D52" s="11">
        <v>0</v>
      </c>
      <c r="E52" s="1" t="s">
        <v>5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179</v>
      </c>
      <c r="D53" s="11">
        <v>0</v>
      </c>
      <c r="E53" s="1" t="s">
        <v>178</v>
      </c>
      <c r="F53" s="11">
        <v>24</v>
      </c>
    </row>
    <row r="54" spans="1:6" x14ac:dyDescent="0.25">
      <c r="A54" s="9" t="s">
        <v>120</v>
      </c>
      <c r="B54" s="12">
        <v>21016</v>
      </c>
      <c r="C54" s="1" t="s">
        <v>180</v>
      </c>
      <c r="D54" s="12">
        <v>0</v>
      </c>
      <c r="E54" s="1" t="s">
        <v>179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7" zoomScaleNormal="100" workbookViewId="0">
      <selection activeCell="B8" sqref="B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185</v>
      </c>
    </row>
    <row r="7" spans="1:3" ht="15" x14ac:dyDescent="0.25">
      <c r="A7" s="3" t="s">
        <v>153</v>
      </c>
      <c r="B7" s="1" t="s">
        <v>186</v>
      </c>
    </row>
    <row r="10" spans="1:3" ht="23.25" x14ac:dyDescent="0.35">
      <c r="A10" s="17" t="s">
        <v>162</v>
      </c>
    </row>
    <row r="11" spans="1:3" ht="15" x14ac:dyDescent="0.25">
      <c r="A11" s="30" t="s">
        <v>86</v>
      </c>
      <c r="B11" s="16" t="s">
        <v>87</v>
      </c>
      <c r="C11" s="16" t="s">
        <v>88</v>
      </c>
    </row>
    <row r="12" spans="1:3" ht="15" x14ac:dyDescent="0.25">
      <c r="A12" s="30">
        <v>44927</v>
      </c>
      <c r="B12" s="16" t="s">
        <v>59</v>
      </c>
      <c r="C12" s="16">
        <v>200</v>
      </c>
    </row>
    <row r="13" spans="1:3" ht="15" x14ac:dyDescent="0.25">
      <c r="A13" s="30">
        <v>44928</v>
      </c>
      <c r="B13" s="16" t="s">
        <v>60</v>
      </c>
      <c r="C13" s="16">
        <f>IFERROR(20,"#N/A")</f>
        <v>20</v>
      </c>
    </row>
    <row r="14" spans="1:3" ht="15" x14ac:dyDescent="0.25">
      <c r="A14" s="30">
        <v>44929</v>
      </c>
      <c r="B14" s="16" t="s">
        <v>61</v>
      </c>
      <c r="C14" s="16">
        <v>50</v>
      </c>
    </row>
    <row r="15" spans="1:3" ht="15" x14ac:dyDescent="0.25">
      <c r="A15" s="30">
        <v>44930</v>
      </c>
      <c r="B15" s="16" t="s">
        <v>62</v>
      </c>
      <c r="C15" s="16">
        <f>IFERROR(20,"#N/A")</f>
        <v>20</v>
      </c>
    </row>
    <row r="16" spans="1:3" ht="15" x14ac:dyDescent="0.25">
      <c r="A16" s="30">
        <v>44931</v>
      </c>
      <c r="B16" s="16" t="s">
        <v>63</v>
      </c>
      <c r="C16" s="16">
        <v>10</v>
      </c>
    </row>
    <row r="17" spans="1:3" ht="15" x14ac:dyDescent="0.25">
      <c r="A17" s="30">
        <v>44932</v>
      </c>
      <c r="B17" s="16" t="s">
        <v>154</v>
      </c>
      <c r="C17" s="16">
        <v>150</v>
      </c>
    </row>
    <row r="18" spans="1:3" ht="15" x14ac:dyDescent="0.25">
      <c r="A18" s="30">
        <v>44933</v>
      </c>
      <c r="B18" s="16" t="s">
        <v>155</v>
      </c>
      <c r="C18" s="16">
        <v>80</v>
      </c>
    </row>
    <row r="19" spans="1:3" ht="15" x14ac:dyDescent="0.25">
      <c r="A19" s="30">
        <v>44934</v>
      </c>
      <c r="B19" s="16" t="s">
        <v>156</v>
      </c>
      <c r="C19" s="16">
        <f>IFERROR(20,"#N/A")</f>
        <v>20</v>
      </c>
    </row>
    <row r="20" spans="1:3" ht="15" x14ac:dyDescent="0.25">
      <c r="A20" s="30">
        <v>44935</v>
      </c>
      <c r="B20" s="16" t="s">
        <v>157</v>
      </c>
      <c r="C20" s="16">
        <v>30</v>
      </c>
    </row>
    <row r="21" spans="1:3" ht="15" x14ac:dyDescent="0.25">
      <c r="A21" s="30">
        <v>44936</v>
      </c>
      <c r="B21" s="16" t="s">
        <v>158</v>
      </c>
      <c r="C21" s="16">
        <f>IFERROR(20,"#N/A")</f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B6" sqref="B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2" t="s">
        <v>187</v>
      </c>
    </row>
    <row r="5" spans="1:14" ht="18.75" x14ac:dyDescent="0.3">
      <c r="A5" s="41" t="s">
        <v>153</v>
      </c>
      <c r="B5" s="1" t="s">
        <v>188</v>
      </c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4" t="e">
        <f>VLOOKUP(A23,A:J,MATCH(B23,A:A,0),FALSE)</f>
        <v>#REF!</v>
      </c>
    </row>
    <row r="24" spans="1:14" ht="15" x14ac:dyDescent="0.25">
      <c r="A24" s="7">
        <v>10100</v>
      </c>
      <c r="B24" s="11">
        <v>10104</v>
      </c>
      <c r="C24" s="44" t="e">
        <f t="shared" ref="C24:C35" si="0">VLOOKUP(A24,A:J,MATCH(B24,A:A,0),FALSE)</f>
        <v>#REF!</v>
      </c>
    </row>
    <row r="25" spans="1:14" ht="15" x14ac:dyDescent="0.25">
      <c r="A25" s="7">
        <v>10108</v>
      </c>
      <c r="B25" s="11">
        <v>10102</v>
      </c>
      <c r="C25" s="44" t="e">
        <f t="shared" si="0"/>
        <v>#REF!</v>
      </c>
    </row>
    <row r="26" spans="1:14" ht="15" x14ac:dyDescent="0.25">
      <c r="A26" s="7">
        <v>10100</v>
      </c>
      <c r="B26" s="11">
        <v>10106</v>
      </c>
      <c r="C26" s="44" t="e">
        <f t="shared" si="0"/>
        <v>#REF!</v>
      </c>
    </row>
    <row r="27" spans="1:14" ht="15" x14ac:dyDescent="0.25">
      <c r="A27" s="7">
        <v>10108</v>
      </c>
      <c r="B27" s="11">
        <v>10110</v>
      </c>
      <c r="C27" s="44" t="e">
        <f t="shared" si="0"/>
        <v>#REF!</v>
      </c>
    </row>
    <row r="28" spans="1:14" ht="15" x14ac:dyDescent="0.25">
      <c r="A28" s="7">
        <v>10102</v>
      </c>
      <c r="B28" s="11">
        <v>10104</v>
      </c>
      <c r="C28" s="44" t="e">
        <f t="shared" si="0"/>
        <v>#REF!</v>
      </c>
    </row>
    <row r="29" spans="1:14" ht="15" x14ac:dyDescent="0.25">
      <c r="A29" s="7">
        <v>10106</v>
      </c>
      <c r="B29" s="11">
        <v>10108</v>
      </c>
      <c r="C29" s="44" t="e">
        <f t="shared" si="0"/>
        <v>#REF!</v>
      </c>
    </row>
    <row r="30" spans="1:14" ht="15" x14ac:dyDescent="0.25">
      <c r="A30" s="7">
        <v>10102</v>
      </c>
      <c r="B30" s="11">
        <v>10106</v>
      </c>
      <c r="C30" s="44" t="e">
        <f t="shared" si="0"/>
        <v>#REF!</v>
      </c>
    </row>
    <row r="31" spans="1:14" ht="15" x14ac:dyDescent="0.25">
      <c r="A31" s="7">
        <v>10110</v>
      </c>
      <c r="B31" s="11">
        <v>10114</v>
      </c>
      <c r="C31" s="44" t="e">
        <f t="shared" si="0"/>
        <v>#N/A</v>
      </c>
    </row>
    <row r="32" spans="1:14" ht="15" x14ac:dyDescent="0.25">
      <c r="A32" s="7">
        <v>10104</v>
      </c>
      <c r="B32" s="11">
        <v>10106</v>
      </c>
      <c r="C32" s="44" t="e">
        <f t="shared" si="0"/>
        <v>#REF!</v>
      </c>
    </row>
    <row r="33" spans="1:3" ht="15" x14ac:dyDescent="0.25">
      <c r="A33" s="7">
        <v>10110</v>
      </c>
      <c r="B33" s="11">
        <v>10112</v>
      </c>
      <c r="C33" s="44" t="e">
        <f t="shared" si="0"/>
        <v>#REF!</v>
      </c>
    </row>
    <row r="34" spans="1:3" ht="15" x14ac:dyDescent="0.25">
      <c r="A34" s="7">
        <v>10100</v>
      </c>
      <c r="B34" s="11">
        <v>10114</v>
      </c>
      <c r="C34" s="44" t="e">
        <f t="shared" si="0"/>
        <v>#N/A</v>
      </c>
    </row>
    <row r="35" spans="1:3" ht="15" x14ac:dyDescent="0.25">
      <c r="A35" s="9">
        <v>10112</v>
      </c>
      <c r="B35" s="12">
        <v>10116</v>
      </c>
      <c r="C35" s="44" t="e">
        <f t="shared" si="0"/>
        <v>#N/A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Prajwal</cp:lastModifiedBy>
  <dcterms:created xsi:type="dcterms:W3CDTF">2015-02-10T17:33:11Z</dcterms:created>
  <dcterms:modified xsi:type="dcterms:W3CDTF">2023-12-10T17:12:28Z</dcterms:modified>
</cp:coreProperties>
</file>