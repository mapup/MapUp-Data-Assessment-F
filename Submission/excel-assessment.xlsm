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ink\Downloads\MapUp-Data-Assessment-F-main\MapUp-Data-Assessment-F-main\"/>
    </mc:Choice>
  </mc:AlternateContent>
  <xr:revisionPtr revIDLastSave="0" documentId="13_ncr:1_{3E3A4A32-364C-4AAE-A697-A25F13197EFD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G23" i="20"/>
  <c r="G24" i="20"/>
  <c r="G25" i="20"/>
  <c r="C25" i="20" s="1"/>
  <c r="G26" i="20"/>
  <c r="C26" i="20" s="1"/>
  <c r="C35" i="20"/>
  <c r="C34" i="20"/>
  <c r="C33" i="20"/>
  <c r="C32" i="20"/>
  <c r="C31" i="20"/>
  <c r="C30" i="20"/>
  <c r="C29" i="20"/>
  <c r="C28" i="20"/>
  <c r="C27" i="20"/>
  <c r="H35" i="20"/>
  <c r="H34" i="20"/>
  <c r="H33" i="20"/>
  <c r="H32" i="20"/>
  <c r="H30" i="20"/>
  <c r="H29" i="20"/>
  <c r="H28" i="20"/>
  <c r="H24" i="20"/>
  <c r="H25" i="20"/>
  <c r="H26" i="20"/>
  <c r="H27" i="20"/>
  <c r="H31" i="20"/>
  <c r="H23" i="20"/>
  <c r="G34" i="20"/>
  <c r="G35" i="20"/>
  <c r="G33" i="20"/>
  <c r="G32" i="20"/>
  <c r="G31" i="20"/>
  <c r="G30" i="20"/>
  <c r="G29" i="20"/>
  <c r="G28" i="20"/>
  <c r="G27" i="20"/>
  <c r="C22" i="19" a="1"/>
  <c r="C22" i="19" s="1"/>
  <c r="C30" i="18"/>
  <c r="D30" i="18"/>
  <c r="E30" i="18"/>
  <c r="F30" i="18"/>
  <c r="B30" i="18"/>
  <c r="B6" i="18"/>
  <c r="E5" i="18" s="1" a="1"/>
  <c r="E5" i="18" s="1"/>
  <c r="C6" i="18"/>
  <c r="D29" i="18"/>
  <c r="E29" i="18"/>
  <c r="F29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3" i="1"/>
  <c r="C28" i="18" l="1"/>
  <c r="C29" i="18"/>
  <c r="B28" i="18"/>
  <c r="B29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<sst xmlns="http://schemas.openxmlformats.org/spreadsheetml/2006/main" count="405" uniqueCount="183">
  <si>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</si>
  <si>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</si>
  <si>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</si>
  <si>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</si>
  <si>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</si>
  <si>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</si>
  <si>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</si>
  <si>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</si>
  <si>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</si>
  <si>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</si>
  <si>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</si>
  <si>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</si>
  <si>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</si>
  <si>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</si>
  <si>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</si>
  <si>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</si>
  <si>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</si>
  <si>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</si>
  <si>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</si>
  <si>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</si>
  <si>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</si>
  <si>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</si>
  <si>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</si>
  <si>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</si>
  <si>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</si>
  <si>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</si>
  <si>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</si>
  <si>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</si>
  <si>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</si>
  <si>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</si>
  <si>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</si>
  <si>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</si>
  <si>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</si>
  <si>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</si>
  <si>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</si>
  <si>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</si>
  <si>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</si>
  <si>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</si>
  <si>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</si>
  <si>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</si>
  <si>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</si>
  <si>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</si>
  <si>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</si>
  <si>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</si>
  <si>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</si>
  <si>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</si>
  <si>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</si>
  <si>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</si>
  <si>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</si>
  <si>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</si>
  <si>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</si>
  <si>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</si>
  <si>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</si>
  <si>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</si>
  <si>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</si>
  <si>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</si>
  <si>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</si>
  <si>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</si>
  <si>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</si>
  <si>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</si>
  <si>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</si>
  <si>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</si>
  <si>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</si>
  <si>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</si>
  <si>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</si>
  <si>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</si>
  <si>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</si>
  <si>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</si>
  <si>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</si>
  <si>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</si>
  <si>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</si>
  <si>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</si>
  <si>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</si>
  <si>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</si>
  <si>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</si>
  <si>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</si>
  <si>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</si>
  <si>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</si>
  <si>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</si>
  <si>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</si>
  <si>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</si>
  <si>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</si>
  <si>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</si>
  <si>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</si>
  <si>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</si>
  <si>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</si>
  <si>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</si>
  <si>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</si>
  <si>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</si>
  <si>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</si>
  <si>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</si>
  <si>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</si>
  <si>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</si>
  <si>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</si>
  <si>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</si>
  <si>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</si>
  <si>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</si>
  <si>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</si>
  <si>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</si>
  <si>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</si>
  <si>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</si>
  <si>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</si>
  <si>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</si>
  <si>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</si>
  <si>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</si>
  <si>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</si>
  <si>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</si>
  <si>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</si>
  <si>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</si>
  <si>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</si>
  <si>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</si>
  <si>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</si>
  <si>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</si>
  <si>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</si>
  <si>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</si>
  <si>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</si>
  <si>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</si>
  <si>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</si>
  <si>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</si>
  <si>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</si>
  <si>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</si>
  <si>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</si>
  <si>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</si>
  <si>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</si>
  <si>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</si>
  <si>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</si>
  <si>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</si>
  <si>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</si>
  <si>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</si>
  <si>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</si>
  <si>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</si>
  <si>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</si>
  <si>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</si>
  <si>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</si>
  <si>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</si>
  <si>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</si>
  <si>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</si>
  <si>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</si>
  <si>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</si>
  <si>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</si>
  <si>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</si>
  <si>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</si>
  <si>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</si>
  <si>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</si>
  <si>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</si>
  <si>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</si>
  <si>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</si>
  <si>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</si>
  <si>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</si>
  <si>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</si>
  <si>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</si>
  <si>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</si>
  <si>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</si>
  <si>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</si>
  <si>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</si>
  <si>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</si>
  <si>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</si>
  <si>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</si>
  <si>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</si>
  <si>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</si>
  <si>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</si>
  <si>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</si>
  <si>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</si>
  <si>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</si>
  <si>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</si>
  <si>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</si>
  <si>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</si>
  <si>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</si>
  <si>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</si>
  <si>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</si>
  <si>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</si>
  <si>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</si>
  <si>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</si>
  <si>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</si>
  <si>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</si>
  <si>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</si>
  <si>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</si>
  <si>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</si>
  <si>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of all the values &gt; 20 in col H labeled as 'car2' =</t>
  </si>
  <si>
    <t xml:space="preserve">I Have used  "=SUM(IF(ISNA(C12:C21), 20, C12:C21))" formula for calculating sum of sales in Table_A.  I have first used if function to replace #N/A error with value 20. This IF() Function checks if the value in cell is #N/A or not. If it is then it substitute it with 20. Then I write Sum function to calculate the total sales to which I give range of sales column. I write IF() function in SUM() function for adding values after it got replaced. The given formula checks each cell in the range C12:C21 for #N/A errors using the ISNA function. If it finds an #N/A error, it substitutes it with the value '20'. The SUM function then adds up all the values in the modified range. </t>
  </si>
  <si>
    <t>Name_1_ID</t>
  </si>
  <si>
    <t>name_2_ID</t>
  </si>
  <si>
    <t>First I have created two new columns named as name_1_ID and name_2_ID. I assigned respective Names to the each value in name_1 column in the column name_1_ID using formula "=VLOOKUP(A24,M10:N18, 2, TRUE)". And same for Name_2_ID. Now I have two new columns as name_1_ID and name_2_ID which contains Names and I will use this columns for finding the values using table A. I used formula "=INDEX(A10:J18, MATCH(G23, A9:A18, 0), MATCH(H23, B9:J9, 0))" to assign the values using table 1. It uses INDEX function which takes range of table_A and MATCH() function which matches values in Name_1_ID with first column values inTable A ranging from A9:A18. and I have matched name_2_ID column values with the first row values in Table_A. Using 'AND' operation (&amp;) I have combined both the combinations and using INDEX() function it find index value for that combination of names and assign the value in the respective cell.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</si>
</sst>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3" fillId="6" borderId="0" xfId="0" applyFont="1" applyFill="1"/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18" fillId="0" borderId="0" xfId="0" applyFont="1"/>
    <xf numFmtId="0" fontId="3" fillId="0" borderId="0" xfId="0" applyFont="1" applyAlignment="1"/>
    <xf numFmtId="0" fontId="3" fillId="0" borderId="0" xfId="0" applyFont="1" applyAlignment="1">
      <alignment horizontal="left" vertical="top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tabSelected="1" zoomScaleNormal="100" workbookViewId="0">
      <pane ySplit="1" topLeftCell="A27" activePane="bottomLeft" state="frozen"/>
      <selection pane="bottomLeft" activeCell="E49" sqref="E4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3" spans="1:24" ht="15.6" x14ac:dyDescent="0.3">
      <c r="C43" s="50" t="s">
        <v>178</v>
      </c>
      <c r="E43" s="3"/>
      <c r="F43" s="49"/>
      <c r="G43" s="48"/>
      <c r="H43" s="47">
        <f>SUMIFS(H2:H40, H2:H40, "&gt;" &amp; 20)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F26" sqref="F2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e" cm="1" vm="1">
        <f t="array" aca="1" ref="E5" ca="1">Avg+B6:B27</f>
        <v>#VALUE!</v>
      </c>
      <c r="F5" s="23" t="s">
        <v>77</v>
      </c>
    </row>
    <row r="6" spans="1:7" ht="14.4" x14ac:dyDescent="0.3">
      <c r="A6" s="7" t="s">
        <v>40</v>
      </c>
      <c r="B6" s="12">
        <f>VLOOKUP(A6, Dataset!A1:X40, 7, FALSE)</f>
        <v>2.7</v>
      </c>
      <c r="C6" s="12">
        <f>VLOOKUP(A6, Dataset!A1:X40, 14, FALSE)</f>
        <v>7.6</v>
      </c>
      <c r="D6" s="12">
        <f>VLOOKUP(A6, Dataset!A1:X40, 18, FALSE)</f>
        <v>4.2</v>
      </c>
      <c r="E6" s="12">
        <f>VLOOKUP(A6, Dataset!A1:X40, 20, FALSE)</f>
        <v>8.9</v>
      </c>
      <c r="F6" s="8">
        <f>VLOOKUP(A6, Dataset!A1:X40, 22, FALSE)</f>
        <v>4.2</v>
      </c>
    </row>
    <row r="7" spans="1:7" ht="14.4" x14ac:dyDescent="0.3">
      <c r="A7" s="7" t="s">
        <v>4</v>
      </c>
      <c r="B7" s="12">
        <f>VLOOKUP(A7, Dataset!A2:X41, 7, FALSE)</f>
        <v>2.7</v>
      </c>
      <c r="C7" s="12">
        <f>VLOOKUP(A7, Dataset!A2:X41, 14, FALSE)</f>
        <v>7.6</v>
      </c>
      <c r="D7" s="12">
        <f>VLOOKUP(A7, Dataset!A2:X41, 18, FALSE)</f>
        <v>4.2</v>
      </c>
      <c r="E7" s="12">
        <f>VLOOKUP(A7, Dataset!A2:X41, 20, FALSE)</f>
        <v>8.9</v>
      </c>
      <c r="F7" s="8">
        <f>VLOOKUP(A7, Dataset!A2:X41, 22, FALSE)</f>
        <v>4.2</v>
      </c>
    </row>
    <row r="8" spans="1:7" ht="14.4" x14ac:dyDescent="0.3">
      <c r="A8" s="7" t="s">
        <v>7</v>
      </c>
      <c r="B8" s="12">
        <f>VLOOKUP(A8, Dataset!A3:X42, 7, FALSE)</f>
        <v>3.6</v>
      </c>
      <c r="C8" s="12">
        <f>VLOOKUP(A8, Dataset!A3:X42, 14, FALSE)</f>
        <v>11.1</v>
      </c>
      <c r="D8" s="12">
        <f>VLOOKUP(A8, Dataset!A3:X42, 18, FALSE)</f>
        <v>5.8</v>
      </c>
      <c r="E8" s="12">
        <f>VLOOKUP(A8, Dataset!A3:X42, 20, FALSE)</f>
        <v>12.2</v>
      </c>
      <c r="F8" s="8">
        <f>VLOOKUP(A8, Dataset!A3:X42, 22, FALSE)</f>
        <v>5.8</v>
      </c>
    </row>
    <row r="9" spans="1:7" ht="14.4" x14ac:dyDescent="0.3">
      <c r="A9" s="7" t="s">
        <v>8</v>
      </c>
      <c r="B9" s="12">
        <f>VLOOKUP(A9, Dataset!A4:X43, 7, FALSE)</f>
        <v>4.9000000000000004</v>
      </c>
      <c r="C9" s="12">
        <f>VLOOKUP(A9, Dataset!A4:X43, 14, FALSE)</f>
        <v>13.3</v>
      </c>
      <c r="D9" s="12">
        <f>VLOOKUP(A9, Dataset!A4:X43, 18, FALSE)</f>
        <v>8.1</v>
      </c>
      <c r="E9" s="12">
        <f>VLOOKUP(A9, Dataset!A4:X43, 20, FALSE)</f>
        <v>17</v>
      </c>
      <c r="F9" s="8">
        <f>VLOOKUP(A9, Dataset!A4:X43, 22, FALSE)</f>
        <v>8.1</v>
      </c>
    </row>
    <row r="10" spans="1:7" ht="14.4" x14ac:dyDescent="0.3">
      <c r="A10" s="7" t="s">
        <v>11</v>
      </c>
      <c r="B10" s="12">
        <f>VLOOKUP(A10, Dataset!A5:X44, 7, FALSE)</f>
        <v>9.4</v>
      </c>
      <c r="C10" s="12">
        <f>VLOOKUP(A10, Dataset!A5:X44, 14, FALSE)</f>
        <v>28.3</v>
      </c>
      <c r="D10" s="12">
        <f>VLOOKUP(A10, Dataset!A5:X44, 18, FALSE)</f>
        <v>16.100000000000001</v>
      </c>
      <c r="E10" s="12">
        <f>VLOOKUP(A10, Dataset!A5:X44, 20, FALSE)</f>
        <v>32.799999999999997</v>
      </c>
      <c r="F10" s="8">
        <f>VLOOKUP(A10, Dataset!A5:X44, 22, FALSE)</f>
        <v>16.100000000000001</v>
      </c>
    </row>
    <row r="11" spans="1:7" ht="14.4" x14ac:dyDescent="0.3">
      <c r="A11" s="7" t="s">
        <v>12</v>
      </c>
      <c r="B11" s="12">
        <f>VLOOKUP(A11, Dataset!A6:X45, 7, FALSE)</f>
        <v>11.6</v>
      </c>
      <c r="C11" s="12">
        <f>VLOOKUP(A11, Dataset!A6:X45, 14, FALSE)</f>
        <v>35.200000000000003</v>
      </c>
      <c r="D11" s="12">
        <f>VLOOKUP(A11, Dataset!A6:X45, 18, FALSE)</f>
        <v>21.3</v>
      </c>
      <c r="E11" s="12">
        <f>VLOOKUP(A11, Dataset!A6:X45, 20, FALSE)</f>
        <v>43</v>
      </c>
      <c r="F11" s="8">
        <f>VLOOKUP(A11, Dataset!A6:X45, 22, FALSE)</f>
        <v>21.3</v>
      </c>
    </row>
    <row r="12" spans="1:7" ht="14.4" x14ac:dyDescent="0.3">
      <c r="A12" s="7" t="s">
        <v>14</v>
      </c>
      <c r="B12" s="12">
        <f>VLOOKUP(A12, Dataset!A7:X46, 7, FALSE)</f>
        <v>18.399999999999999</v>
      </c>
      <c r="C12" s="12">
        <f>VLOOKUP(A12, Dataset!A7:X46, 14, FALSE)</f>
        <v>55.6</v>
      </c>
      <c r="D12" s="12">
        <f>VLOOKUP(A12, Dataset!A7:X46, 18, FALSE)</f>
        <v>33.799999999999997</v>
      </c>
      <c r="E12" s="12">
        <f>VLOOKUP(A12, Dataset!A7:X46, 20, FALSE)</f>
        <v>67.900000000000006</v>
      </c>
      <c r="F12" s="8">
        <f>VLOOKUP(A12, Dataset!A7:X46, 22, FALSE)</f>
        <v>33.799999999999997</v>
      </c>
    </row>
    <row r="13" spans="1:7" ht="14.4" x14ac:dyDescent="0.3">
      <c r="A13" s="7" t="s">
        <v>15</v>
      </c>
      <c r="B13" s="12">
        <f>VLOOKUP(A13, Dataset!A8:X47, 7, FALSE)</f>
        <v>0</v>
      </c>
      <c r="C13" s="12">
        <f>VLOOKUP(A13, Dataset!A8:X47, 14, FALSE)</f>
        <v>0</v>
      </c>
      <c r="D13" s="12">
        <f>VLOOKUP(A13, Dataset!A8:X47, 18, FALSE)</f>
        <v>0</v>
      </c>
      <c r="E13" s="12">
        <f>VLOOKUP(A13, Dataset!A8:X47, 20, FALSE)</f>
        <v>0</v>
      </c>
      <c r="F13" s="8">
        <f>VLOOKUP(A13, Dataset!A8:X47, 22, FALSE)</f>
        <v>0</v>
      </c>
    </row>
    <row r="14" spans="1:7" ht="14.4" x14ac:dyDescent="0.3">
      <c r="A14" s="7" t="s">
        <v>16</v>
      </c>
      <c r="B14" s="12">
        <f>VLOOKUP(A14, Dataset!A9:X48, 7, FALSE)</f>
        <v>21.9</v>
      </c>
      <c r="C14" s="12">
        <f>VLOOKUP(A14, Dataset!A9:X48, 14, FALSE)</f>
        <v>61.5</v>
      </c>
      <c r="D14" s="12">
        <f>VLOOKUP(A14, Dataset!A9:X48, 18, FALSE)</f>
        <v>40.1</v>
      </c>
      <c r="E14" s="12">
        <f>VLOOKUP(A14, Dataset!A9:X48, 20, FALSE)</f>
        <v>76.599999999999994</v>
      </c>
      <c r="F14" s="8">
        <f>VLOOKUP(A14, Dataset!A9:X48, 22, FALSE)</f>
        <v>40.1</v>
      </c>
    </row>
    <row r="15" spans="1:7" ht="14.4" x14ac:dyDescent="0.3">
      <c r="A15" s="7" t="s">
        <v>18</v>
      </c>
      <c r="B15" s="12">
        <f>VLOOKUP(A15, Dataset!A10:X49, 7, FALSE)</f>
        <v>26.8</v>
      </c>
      <c r="C15" s="12">
        <f>VLOOKUP(A15, Dataset!A10:X49, 14, FALSE)</f>
        <v>79.599999999999994</v>
      </c>
      <c r="D15" s="12">
        <f>VLOOKUP(A15, Dataset!A10:X49, 18, FALSE)</f>
        <v>47.9</v>
      </c>
      <c r="E15" s="12">
        <f>VLOOKUP(A15, Dataset!A10:X49, 20, FALSE)</f>
        <v>96.8</v>
      </c>
      <c r="F15" s="8">
        <f>VLOOKUP(A15, Dataset!A10:X49, 22, FALSE)</f>
        <v>47.9</v>
      </c>
    </row>
    <row r="16" spans="1:7" ht="14.4" x14ac:dyDescent="0.3">
      <c r="A16" s="7" t="s">
        <v>20</v>
      </c>
      <c r="B16" s="12">
        <f>VLOOKUP(A16, Dataset!A11:X50, 7, FALSE)</f>
        <v>28.5</v>
      </c>
      <c r="C16" s="12">
        <f>VLOOKUP(A16, Dataset!A11:X50, 14, FALSE)</f>
        <v>85.4</v>
      </c>
      <c r="D16" s="12">
        <f>VLOOKUP(A16, Dataset!A11:X50, 18, FALSE)</f>
        <v>52.3</v>
      </c>
      <c r="E16" s="12">
        <f>VLOOKUP(A16, Dataset!A11:X50, 20, FALSE)</f>
        <v>106.1</v>
      </c>
      <c r="F16" s="8">
        <f>VLOOKUP(A16, Dataset!A11:X50, 22, FALSE)</f>
        <v>52.3</v>
      </c>
    </row>
    <row r="17" spans="1:6" ht="14.4" x14ac:dyDescent="0.3">
      <c r="A17" s="7" t="s">
        <v>22</v>
      </c>
      <c r="B17" s="12">
        <f>VLOOKUP(A17, Dataset!A12:X51, 7, FALSE)</f>
        <v>30.7</v>
      </c>
      <c r="C17" s="12">
        <f>VLOOKUP(A17, Dataset!A12:X51, 14, FALSE)</f>
        <v>92.1</v>
      </c>
      <c r="D17" s="12">
        <f>VLOOKUP(A17, Dataset!A12:X51, 18, FALSE)</f>
        <v>57</v>
      </c>
      <c r="E17" s="12">
        <f>VLOOKUP(A17, Dataset!A12:X51, 20, FALSE)</f>
        <v>115.1</v>
      </c>
      <c r="F17" s="8">
        <f>VLOOKUP(A17, Dataset!A12:X51, 22, FALSE)</f>
        <v>57</v>
      </c>
    </row>
    <row r="18" spans="1:6" ht="14.4" x14ac:dyDescent="0.3">
      <c r="A18" s="7" t="s">
        <v>23</v>
      </c>
      <c r="B18" s="12">
        <f>VLOOKUP(A18, Dataset!A13:X52, 7, FALSE)</f>
        <v>33.799999999999997</v>
      </c>
      <c r="C18" s="12">
        <f>VLOOKUP(A18, Dataset!A13:X52, 14, FALSE)</f>
        <v>101.3</v>
      </c>
      <c r="D18" s="12">
        <f>VLOOKUP(A18, Dataset!A13:X52, 18, FALSE)</f>
        <v>61.4</v>
      </c>
      <c r="E18" s="12">
        <f>VLOOKUP(A18, Dataset!A13:X52, 20, FALSE)</f>
        <v>124.4</v>
      </c>
      <c r="F18" s="8">
        <f>VLOOKUP(A18, Dataset!A13:X52, 22, FALSE)</f>
        <v>61.4</v>
      </c>
    </row>
    <row r="19" spans="1:6" ht="14.4" x14ac:dyDescent="0.3">
      <c r="A19" s="7" t="s">
        <v>24</v>
      </c>
      <c r="B19" s="12">
        <f>VLOOKUP(A19, Dataset!A14:X53, 7, FALSE)</f>
        <v>34.700000000000003</v>
      </c>
      <c r="C19" s="12">
        <f>VLOOKUP(A19, Dataset!A14:X53, 14, FALSE)</f>
        <v>106.1</v>
      </c>
      <c r="D19" s="12">
        <f>VLOOKUP(A19, Dataset!A14:X53, 18, FALSE)</f>
        <v>63.6</v>
      </c>
      <c r="E19" s="12">
        <f>VLOOKUP(A19, Dataset!A14:X53, 20, FALSE)</f>
        <v>128.6</v>
      </c>
      <c r="F19" s="8">
        <f>VLOOKUP(A19, Dataset!A14:X53, 22, FALSE)</f>
        <v>63.6</v>
      </c>
    </row>
    <row r="20" spans="1:6" ht="14.4" x14ac:dyDescent="0.3">
      <c r="A20" s="7" t="s">
        <v>28</v>
      </c>
      <c r="B20" s="12">
        <f>VLOOKUP(A20, Dataset!A15:X54, 7, FALSE)</f>
        <v>0</v>
      </c>
      <c r="C20" s="12">
        <f>VLOOKUP(A20, Dataset!A15:X54, 14, FALSE)</f>
        <v>0</v>
      </c>
      <c r="D20" s="12">
        <f>VLOOKUP(A20, Dataset!A15:X54, 18, FALSE)</f>
        <v>0</v>
      </c>
      <c r="E20" s="12">
        <f>VLOOKUP(A20, Dataset!A15:X54, 20, FALSE)</f>
        <v>0</v>
      </c>
      <c r="F20" s="8">
        <f>VLOOKUP(A20, Dataset!A15:X54, 22, FALSE)</f>
        <v>0</v>
      </c>
    </row>
    <row r="21" spans="1:6" ht="14.4" x14ac:dyDescent="0.3">
      <c r="A21" s="7" t="s">
        <v>57</v>
      </c>
      <c r="B21" s="12">
        <f>VLOOKUP(A21, Dataset!A16:X55, 7, FALSE)</f>
        <v>41.3</v>
      </c>
      <c r="C21" s="12">
        <f>VLOOKUP(A21, Dataset!A16:X55, 14, FALSE)</f>
        <v>124.4</v>
      </c>
      <c r="D21" s="12">
        <f>VLOOKUP(A21, Dataset!A16:X55, 18, FALSE)</f>
        <v>75</v>
      </c>
      <c r="E21" s="12">
        <f>VLOOKUP(A21, Dataset!A16:X55, 20, FALSE)</f>
        <v>151.5</v>
      </c>
      <c r="F21" s="8">
        <f>VLOOKUP(A21, Dataset!A16:X55, 22, FALSE)</f>
        <v>75</v>
      </c>
    </row>
    <row r="22" spans="1:6" ht="14.4" x14ac:dyDescent="0.3">
      <c r="A22" s="7" t="s">
        <v>58</v>
      </c>
      <c r="B22" s="12">
        <f>VLOOKUP(A22, Dataset!A17:X56, 7, FALSE)</f>
        <v>-1</v>
      </c>
      <c r="C22" s="12">
        <f>VLOOKUP(A22, Dataset!A17:X56, 14, FALSE)</f>
        <v>-1</v>
      </c>
      <c r="D22" s="12">
        <f>VLOOKUP(A22, Dataset!A17:X56, 18, FALSE)</f>
        <v>-1</v>
      </c>
      <c r="E22" s="12">
        <f>VLOOKUP(A22, Dataset!A17:X56, 20, FALSE)</f>
        <v>-1</v>
      </c>
      <c r="F22" s="8">
        <f>VLOOKUP(A22, Dataset!A17:X56, 22, FALSE)</f>
        <v>-1</v>
      </c>
    </row>
    <row r="23" spans="1:6" ht="14.4" x14ac:dyDescent="0.3">
      <c r="A23" s="7" t="s">
        <v>31</v>
      </c>
      <c r="B23" s="12">
        <f>VLOOKUP(A23, Dataset!A18:X57, 7, FALSE)</f>
        <v>45</v>
      </c>
      <c r="C23" s="12">
        <f>VLOOKUP(A23, Dataset!A18:X57, 14, FALSE)</f>
        <v>133.4</v>
      </c>
      <c r="D23" s="12">
        <f>VLOOKUP(A23, Dataset!A18:X57, 18, FALSE)</f>
        <v>79.400000000000006</v>
      </c>
      <c r="E23" s="12">
        <f>VLOOKUP(A23, Dataset!A18:X57, 20, FALSE)</f>
        <v>160.9</v>
      </c>
      <c r="F23" s="8">
        <f>VLOOKUP(A23, Dataset!A18:X57, 22, FALSE)</f>
        <v>79.400000000000006</v>
      </c>
    </row>
    <row r="24" spans="1:6" ht="14.4" x14ac:dyDescent="0.3">
      <c r="A24" s="7" t="s">
        <v>32</v>
      </c>
      <c r="B24" s="12">
        <f>VLOOKUP(A24, Dataset!A19:X58, 7, FALSE)</f>
        <v>-1</v>
      </c>
      <c r="C24" s="12">
        <f>VLOOKUP(A24, Dataset!A19:X58, 14, FALSE)</f>
        <v>-1</v>
      </c>
      <c r="D24" s="12">
        <f>VLOOKUP(A24, Dataset!A19:X58, 18, FALSE)</f>
        <v>-1</v>
      </c>
      <c r="E24" s="12">
        <f>VLOOKUP(A24, Dataset!A19:X58, 20, FALSE)</f>
        <v>-1</v>
      </c>
      <c r="F24" s="8">
        <f>VLOOKUP(A24, Dataset!A19:X58, 22, FALSE)</f>
        <v>-1</v>
      </c>
    </row>
    <row r="25" spans="1:6" ht="14.4" x14ac:dyDescent="0.3">
      <c r="A25" s="7" t="s">
        <v>34</v>
      </c>
      <c r="B25" s="12">
        <f>VLOOKUP(A25, Dataset!A20:X59, 7, FALSE)</f>
        <v>43.3</v>
      </c>
      <c r="C25" s="12">
        <f>VLOOKUP(A25, Dataset!A20:X59, 14, FALSE)</f>
        <v>128.6</v>
      </c>
      <c r="D25" s="12">
        <f>VLOOKUP(A25, Dataset!A20:X59, 18, FALSE)</f>
        <v>79.400000000000006</v>
      </c>
      <c r="E25" s="12">
        <f>VLOOKUP(A25, Dataset!A20:X59, 20, FALSE)</f>
        <v>160.9</v>
      </c>
      <c r="F25" s="8">
        <f>VLOOKUP(A25, Dataset!A20:X59, 22, FALSE)</f>
        <v>79.400000000000006</v>
      </c>
    </row>
    <row r="26" spans="1:6" ht="14.4" x14ac:dyDescent="0.3">
      <c r="A26" s="7" t="s">
        <v>37</v>
      </c>
      <c r="B26" s="12">
        <f>VLOOKUP(A26, Dataset!A21:X60, 7, FALSE)</f>
        <v>49.1</v>
      </c>
      <c r="C26" s="12">
        <f>VLOOKUP(A26, Dataset!A21:X60, 14, FALSE)</f>
        <v>146.80000000000001</v>
      </c>
      <c r="D26" s="12">
        <f>VLOOKUP(A26, Dataset!A21:X60, 18, FALSE)</f>
        <v>90.9</v>
      </c>
      <c r="E26" s="12">
        <f>VLOOKUP(A26, Dataset!A21:X60, 20, FALSE)</f>
        <v>183.5</v>
      </c>
      <c r="F26" s="8">
        <f>VLOOKUP(A26, Dataset!A21:X60, 22, FALSE)</f>
        <v>90.9</v>
      </c>
    </row>
    <row r="27" spans="1:6" ht="14.4" x14ac:dyDescent="0.3">
      <c r="A27" s="7" t="s">
        <v>39</v>
      </c>
      <c r="B27" s="12">
        <f>VLOOKUP(A27, Dataset!A22:X61, 7, FALSE)</f>
        <v>51.8</v>
      </c>
      <c r="C27" s="12">
        <f>VLOOKUP(A27, Dataset!A22:X61, 14, FALSE)</f>
        <v>156.4</v>
      </c>
      <c r="D27" s="12">
        <f>VLOOKUP(A27, Dataset!A22:X61, 18, FALSE)</f>
        <v>93.1</v>
      </c>
      <c r="E27" s="12">
        <f>VLOOKUP(A27, Dataset!A22:X61, 20, FALSE)</f>
        <v>188.1</v>
      </c>
      <c r="F27" s="8">
        <f>VLOOKUP(A27, Dataset!A22:X61, 22, 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16" sqref="B16:B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154</v>
      </c>
      <c r="B6" s="40"/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zoomScaleNormal="100" workbookViewId="0">
      <selection activeCell="E14" sqref="E14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0" ht="21" x14ac:dyDescent="0.4">
      <c r="A1" s="42" t="s">
        <v>85</v>
      </c>
      <c r="B1" s="41" t="s">
        <v>168</v>
      </c>
    </row>
    <row r="2" spans="1:10" ht="18" x14ac:dyDescent="0.35">
      <c r="B2" s="40" t="s">
        <v>167</v>
      </c>
    </row>
    <row r="5" spans="1:10" ht="14.4" x14ac:dyDescent="0.3">
      <c r="B5" s="1" t="s">
        <v>152</v>
      </c>
    </row>
    <row r="6" spans="1:10" ht="14.4" x14ac:dyDescent="0.3">
      <c r="A6" s="3" t="s">
        <v>53</v>
      </c>
      <c r="B6" s="51" t="s">
        <v>179</v>
      </c>
      <c r="C6" s="51"/>
      <c r="D6" s="51"/>
      <c r="E6" s="51"/>
      <c r="F6" s="51"/>
      <c r="G6" s="51"/>
      <c r="H6" s="51"/>
      <c r="I6" s="51"/>
      <c r="J6" s="51"/>
    </row>
    <row r="7" spans="1:10" ht="14.4" x14ac:dyDescent="0.3">
      <c r="A7" s="3" t="s">
        <v>154</v>
      </c>
      <c r="B7" s="51"/>
      <c r="C7" s="51"/>
      <c r="D7" s="51"/>
      <c r="E7" s="51"/>
      <c r="F7" s="51"/>
      <c r="G7" s="51"/>
      <c r="H7" s="51"/>
      <c r="I7" s="51"/>
      <c r="J7" s="51"/>
    </row>
    <row r="8" spans="1:10" ht="13.8" customHeight="1" x14ac:dyDescent="0.3">
      <c r="B8" s="51"/>
      <c r="C8" s="51"/>
      <c r="D8" s="51"/>
      <c r="E8" s="51"/>
      <c r="F8" s="51"/>
      <c r="G8" s="51"/>
      <c r="H8" s="51"/>
      <c r="I8" s="51"/>
      <c r="J8" s="51"/>
    </row>
    <row r="10" spans="1:10" ht="23.4" x14ac:dyDescent="0.45">
      <c r="A10" s="18" t="s">
        <v>163</v>
      </c>
    </row>
    <row r="11" spans="1:10" ht="14.4" x14ac:dyDescent="0.3">
      <c r="A11" s="32" t="s">
        <v>86</v>
      </c>
      <c r="B11" s="17" t="s">
        <v>87</v>
      </c>
      <c r="C11" s="17" t="s">
        <v>88</v>
      </c>
    </row>
    <row r="12" spans="1:10" ht="14.4" x14ac:dyDescent="0.3">
      <c r="A12" s="32">
        <v>44927</v>
      </c>
      <c r="B12" s="17" t="s">
        <v>59</v>
      </c>
      <c r="C12" s="17">
        <v>200</v>
      </c>
    </row>
    <row r="13" spans="1:10" ht="14.4" x14ac:dyDescent="0.3">
      <c r="A13" s="32">
        <v>44928</v>
      </c>
      <c r="B13" s="17" t="s">
        <v>60</v>
      </c>
      <c r="C13" s="17" t="e">
        <v>#N/A</v>
      </c>
    </row>
    <row r="14" spans="1:10" ht="14.4" x14ac:dyDescent="0.3">
      <c r="A14" s="32">
        <v>44929</v>
      </c>
      <c r="B14" s="17" t="s">
        <v>61</v>
      </c>
      <c r="C14" s="17">
        <v>50</v>
      </c>
    </row>
    <row r="15" spans="1:10" ht="14.4" x14ac:dyDescent="0.3">
      <c r="A15" s="32">
        <v>44930</v>
      </c>
      <c r="B15" s="17" t="s">
        <v>62</v>
      </c>
      <c r="C15" s="17" t="e">
        <v>#N/A</v>
      </c>
    </row>
    <row r="16" spans="1:10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155</v>
      </c>
      <c r="C17" s="17">
        <v>150</v>
      </c>
    </row>
    <row r="18" spans="1:3" ht="14.4" x14ac:dyDescent="0.3">
      <c r="A18" s="32">
        <v>44933</v>
      </c>
      <c r="B18" s="17" t="s">
        <v>156</v>
      </c>
      <c r="C18" s="17">
        <v>80</v>
      </c>
    </row>
    <row r="19" spans="1:3" ht="14.4" x14ac:dyDescent="0.3">
      <c r="A19" s="32">
        <v>44934</v>
      </c>
      <c r="B19" s="17" t="s">
        <v>157</v>
      </c>
      <c r="C19" s="17" t="e">
        <v>#N/A</v>
      </c>
    </row>
    <row r="20" spans="1:3" ht="14.4" x14ac:dyDescent="0.3">
      <c r="A20" s="32">
        <v>44935</v>
      </c>
      <c r="B20" s="17" t="s">
        <v>158</v>
      </c>
      <c r="C20" s="17">
        <v>30</v>
      </c>
    </row>
    <row r="21" spans="1:3" ht="14.4" x14ac:dyDescent="0.3">
      <c r="A21" s="32">
        <v>44936</v>
      </c>
      <c r="B21" s="17" t="s">
        <v>159</v>
      </c>
      <c r="C21" s="17" t="e">
        <v>#N/A</v>
      </c>
    </row>
    <row r="22" spans="1:3" ht="14.4" x14ac:dyDescent="0.3">
      <c r="B22" s="17" t="s">
        <v>160</v>
      </c>
      <c r="C22" s="25" cm="1">
        <f t="array" ref="C22">SUM(IF(ISNA(C12:C21), 20, C12:C21))</f>
        <v>600</v>
      </c>
    </row>
  </sheetData>
  <mergeCells count="3">
    <mergeCell ref="B6:J6"/>
    <mergeCell ref="B7:J7"/>
    <mergeCell ref="B8:J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zoomScaleNormal="100" workbookViewId="0">
      <selection activeCell="B4" sqref="B4:O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42" t="s">
        <v>98</v>
      </c>
      <c r="B1" s="41" t="s">
        <v>176</v>
      </c>
    </row>
    <row r="3" spans="1:15" ht="14.4" x14ac:dyDescent="0.3">
      <c r="B3" s="1" t="s">
        <v>152</v>
      </c>
    </row>
    <row r="4" spans="1:15" ht="18" x14ac:dyDescent="0.35">
      <c r="A4" s="43" t="s">
        <v>53</v>
      </c>
      <c r="B4" s="52" t="s">
        <v>182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</row>
    <row r="5" spans="1:15" ht="18" x14ac:dyDescent="0.35">
      <c r="A5" s="43" t="s">
        <v>154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</row>
    <row r="6" spans="1:15" ht="14.4" x14ac:dyDescent="0.3">
      <c r="A6" s="3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</row>
    <row r="8" spans="1:15" ht="23.4" x14ac:dyDescent="0.45">
      <c r="A8" s="18" t="s">
        <v>163</v>
      </c>
      <c r="M8" s="18" t="s">
        <v>164</v>
      </c>
    </row>
    <row r="9" spans="1:15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5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5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5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5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5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5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5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  <c r="G22" s="2" t="s">
        <v>180</v>
      </c>
      <c r="H22" s="2" t="s">
        <v>181</v>
      </c>
    </row>
    <row r="23" spans="1:14" ht="14.4" x14ac:dyDescent="0.3">
      <c r="A23" s="7">
        <v>10100</v>
      </c>
      <c r="B23" s="12">
        <v>10102</v>
      </c>
      <c r="C23" s="44">
        <f>INDEX(A10:J18, MATCH(G23, A9:A18, 0), MATCH(H23, B9:J9, 0))</f>
        <v>95</v>
      </c>
      <c r="G23" s="2" t="str">
        <f>VLOOKUP(A23,M10:N18, 2, TRUE)</f>
        <v>A</v>
      </c>
      <c r="H23" s="2" t="str">
        <f>VLOOKUP(B23, M9:N18, 2, TRUE)</f>
        <v>B</v>
      </c>
    </row>
    <row r="24" spans="1:14" ht="14.4" x14ac:dyDescent="0.3">
      <c r="A24" s="7">
        <v>10100</v>
      </c>
      <c r="B24" s="12">
        <v>10104</v>
      </c>
      <c r="C24" s="44">
        <f>INDEX(A10:J18, MATCH(G24, A9:A18, 0), MATCH(H24, B9:J9, 0))</f>
        <v>-1</v>
      </c>
      <c r="G24" s="2" t="str">
        <f>VLOOKUP(A24,M10:N18, 2, TRUE)</f>
        <v>A</v>
      </c>
      <c r="H24" s="2" t="str">
        <f>VLOOKUP(B24, M10:N19, 2, TRUE)</f>
        <v>C</v>
      </c>
    </row>
    <row r="25" spans="1:14" ht="14.4" x14ac:dyDescent="0.3">
      <c r="A25" s="7">
        <v>10108</v>
      </c>
      <c r="B25" s="12">
        <v>10102</v>
      </c>
      <c r="C25" s="44">
        <f>INDEX(A10:J18, MATCH(G25, A9:A18, 0), MATCH(H25, B9:J9, 0))</f>
        <v>305</v>
      </c>
      <c r="G25" s="2" t="str">
        <f t="shared" ref="G25" si="0">VLOOKUP(A25,M12:N20, 2, FALSE)</f>
        <v>E</v>
      </c>
      <c r="H25" s="2" t="str">
        <f>VLOOKUP(B25, M11:N20, 2, TRUE)</f>
        <v>B</v>
      </c>
    </row>
    <row r="26" spans="1:14" ht="14.4" x14ac:dyDescent="0.3">
      <c r="A26" s="7">
        <v>10100</v>
      </c>
      <c r="B26" s="12">
        <v>10106</v>
      </c>
      <c r="C26" s="44">
        <f>INDEX(A10:J18, MATCH(G26, A9:A18, 0), MATCH(H26, B9:J9, 0))</f>
        <v>-1</v>
      </c>
      <c r="G26" s="2" t="str">
        <f>VLOOKUP(A26,M10:N18, 2, TRUE)</f>
        <v>A</v>
      </c>
      <c r="H26" s="2" t="str">
        <f>VLOOKUP(B26, M12:N21, 2, TRUE)</f>
        <v>D</v>
      </c>
    </row>
    <row r="27" spans="1:14" ht="14.4" x14ac:dyDescent="0.3">
      <c r="A27" s="7">
        <v>10108</v>
      </c>
      <c r="B27" s="12">
        <v>10110</v>
      </c>
      <c r="C27" s="44">
        <f>INDEX(A10:J18, MATCH(G27, A9:A18, 0), MATCH(H27, B9:J9, 0))</f>
        <v>50</v>
      </c>
      <c r="G27" s="2" t="str">
        <f t="shared" ref="G27" si="1">VLOOKUP(A27,M14:N22, 2, FALSE)</f>
        <v>E</v>
      </c>
      <c r="H27" s="2" t="str">
        <f>VLOOKUP(B27, M13:N22, 2, TRUE)</f>
        <v>F</v>
      </c>
    </row>
    <row r="28" spans="1:14" ht="14.4" x14ac:dyDescent="0.3">
      <c r="A28" s="7">
        <v>10102</v>
      </c>
      <c r="B28" s="12">
        <v>10104</v>
      </c>
      <c r="C28" s="44">
        <f>INDEX(A10:J18, MATCH(G28, A9:A18, 0), MATCH(H28, B9:J9, 0))</f>
        <v>-1</v>
      </c>
      <c r="G28" s="2" t="str">
        <f>VLOOKUP(A28,M10:N18, 2, TRUE)</f>
        <v>B</v>
      </c>
      <c r="H28" s="2" t="str">
        <f>VLOOKUP(B28, M10:N18, 2, TRUE)</f>
        <v>C</v>
      </c>
    </row>
    <row r="29" spans="1:14" ht="14.4" x14ac:dyDescent="0.3">
      <c r="A29" s="7">
        <v>10106</v>
      </c>
      <c r="B29" s="12">
        <v>10108</v>
      </c>
      <c r="C29" s="44">
        <f>INDEX(A10:J18, MATCH(G29, A9:A18, 0), MATCH(H29, B9:J9, 0))</f>
        <v>70</v>
      </c>
      <c r="G29" s="2" t="str">
        <f>VLOOKUP(A29,M10:N18, 2, FALSE)</f>
        <v>D</v>
      </c>
      <c r="H29" s="2" t="str">
        <f>VLOOKUP(B29,M10:N18, 2, TRUE)</f>
        <v>E</v>
      </c>
    </row>
    <row r="30" spans="1:14" ht="14.4" x14ac:dyDescent="0.3">
      <c r="A30" s="7">
        <v>10102</v>
      </c>
      <c r="B30" s="12">
        <v>10106</v>
      </c>
      <c r="C30" s="44">
        <f>INDEX(A10:J18, MATCH(G30, A9:A18, 0), MATCH(H30, B9:J9, 0))</f>
        <v>-1</v>
      </c>
      <c r="G30" s="2" t="str">
        <f>VLOOKUP(A30,M10:N18, 2, FALSE)</f>
        <v>B</v>
      </c>
      <c r="H30" s="2" t="str">
        <f>VLOOKUP(B30, M10:N18, 2, TRUE)</f>
        <v>D</v>
      </c>
    </row>
    <row r="31" spans="1:14" ht="14.4" x14ac:dyDescent="0.3">
      <c r="A31" s="7">
        <v>10110</v>
      </c>
      <c r="B31" s="12">
        <v>10114</v>
      </c>
      <c r="C31" s="44">
        <f>INDEX(A10:J18, MATCH(G31, A9:A18, 0), MATCH(H31, B9:J9, 0))</f>
        <v>-1</v>
      </c>
      <c r="G31" s="2" t="str">
        <f>VLOOKUP(A31,M10:N18, 2, TRUE)</f>
        <v>F</v>
      </c>
      <c r="H31" s="2" t="str">
        <f>VLOOKUP(B31, M17:N26, 2, TRUE)</f>
        <v>H</v>
      </c>
    </row>
    <row r="32" spans="1:14" ht="14.4" x14ac:dyDescent="0.3">
      <c r="A32" s="7">
        <v>10104</v>
      </c>
      <c r="B32" s="12">
        <v>10106</v>
      </c>
      <c r="C32" s="44">
        <f>INDEX(A10:J18, MATCH(G32, A9:A18, 0), MATCH(H32, B9:J9, 0))</f>
        <v>60</v>
      </c>
      <c r="G32" s="2" t="str">
        <f>VLOOKUP(A32,M10:N18, 2, FALSE)</f>
        <v>C</v>
      </c>
      <c r="H32" s="2" t="str">
        <f>VLOOKUP(B32, M10:N18, 2, TRUE)</f>
        <v>D</v>
      </c>
    </row>
    <row r="33" spans="1:8" ht="14.4" x14ac:dyDescent="0.3">
      <c r="A33" s="7">
        <v>10110</v>
      </c>
      <c r="B33" s="12">
        <v>10112</v>
      </c>
      <c r="C33" s="44">
        <f>INDEX(A10:J18, MATCH(G33, A9:A18, 0), MATCH(H33, B9:J9, 0))</f>
        <v>115</v>
      </c>
      <c r="G33" s="2" t="str">
        <f>VLOOKUP(A33,M10:N18, 2, TRUE)</f>
        <v>F</v>
      </c>
      <c r="H33" s="2" t="str">
        <f>VLOOKUP(B33, M10:N18, 2, TRUE)</f>
        <v>G</v>
      </c>
    </row>
    <row r="34" spans="1:8" ht="14.4" x14ac:dyDescent="0.3">
      <c r="A34" s="7">
        <v>10100</v>
      </c>
      <c r="B34" s="12">
        <v>10114</v>
      </c>
      <c r="C34" s="44">
        <f>INDEX(A10:J18, MATCH(G34, A9:A18, 0), MATCH(H34, B9:J9, 0))</f>
        <v>325</v>
      </c>
      <c r="G34" s="2" t="str">
        <f>VLOOKUP(A34,M10:N18, 2, FALSE)</f>
        <v>A</v>
      </c>
      <c r="H34" s="2" t="str">
        <f>VLOOKUP(B34, M10:N18, 2, TRUE)</f>
        <v>H</v>
      </c>
    </row>
    <row r="35" spans="1:8" ht="14.4" x14ac:dyDescent="0.3">
      <c r="A35" s="9">
        <v>10112</v>
      </c>
      <c r="B35" s="13">
        <v>10116</v>
      </c>
      <c r="C35" s="44">
        <f>INDEX(A10:J18, MATCH(G35, A9:A18, 0), MATCH(H35, B9:J9, 0))</f>
        <v>-1</v>
      </c>
      <c r="G35" s="2" t="str">
        <f>VLOOKUP(A35,M10:N18, 2, TRUE)</f>
        <v>G</v>
      </c>
      <c r="H35" s="2" t="str">
        <f>VLOOKUP(B35, M10:N18, 2, TRUE)</f>
        <v>I</v>
      </c>
    </row>
  </sheetData>
  <mergeCells count="3">
    <mergeCell ref="B4:O4"/>
    <mergeCell ref="B5:O5"/>
    <mergeCell ref="B6:O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Gayatri Chinke</cp:lastModifiedBy>
  <dcterms:created xsi:type="dcterms:W3CDTF">2015-02-10T17:33:11Z</dcterms:created>
  <dcterms:modified xsi:type="dcterms:W3CDTF">2023-12-10T13:24:10Z</dcterms:modified>
</cp:coreProperties>
</file>