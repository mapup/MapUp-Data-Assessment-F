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C3DA2D6B-C271-4E1F-8802-39AF2360690A}" xr6:coauthVersionLast="47" xr6:coauthVersionMax="47" xr10:uidLastSave="{00000000-0000-0000-0000-000000000000}"/>
  <bookViews>
    <workbookView xWindow="-110" yWindow="-110" windowWidth="19420" windowHeight="104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0" i="20" l="1"/>
  <c r="C31" i="20"/>
  <c r="C32" i="20"/>
  <c r="C33" i="20"/>
  <c r="C34" i="20"/>
  <c r="C35" i="20"/>
  <c r="C36" i="20"/>
  <c r="C37" i="20"/>
  <c r="C38" i="20"/>
  <c r="C39" i="20"/>
  <c r="C40" i="20"/>
  <c r="C41" i="20"/>
  <c r="C29" i="20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0" i="18"/>
  <c r="D10" i="18"/>
  <c r="E10" i="18"/>
  <c r="F10" i="18"/>
  <c r="C11" i="18"/>
  <c r="D11" i="18"/>
  <c r="E11" i="18"/>
  <c r="F11" i="18"/>
  <c r="C8" i="18"/>
  <c r="D8" i="18"/>
  <c r="E8" i="18"/>
  <c r="F8" i="18"/>
  <c r="C9" i="18"/>
  <c r="D9" i="18"/>
  <c r="E9" i="18"/>
  <c r="F9" i="18"/>
  <c r="C7" i="18"/>
  <c r="D7" i="18"/>
  <c r="E7" i="18"/>
  <c r="F7" i="18"/>
  <c r="D6" i="18"/>
  <c r="E6" i="18"/>
  <c r="F6" i="18"/>
  <c r="C6" i="18"/>
  <c r="B6" i="18"/>
  <c r="L40" i="20"/>
  <c r="M40" i="20"/>
  <c r="L39" i="20"/>
  <c r="M39" i="20"/>
  <c r="M28" i="20"/>
  <c r="M29" i="20"/>
  <c r="M30" i="20"/>
  <c r="M31" i="20"/>
  <c r="M32" i="20"/>
  <c r="M33" i="20"/>
  <c r="M34" i="20"/>
  <c r="M35" i="20"/>
  <c r="M36" i="20"/>
  <c r="M37" i="20"/>
  <c r="M38" i="20"/>
  <c r="L29" i="20"/>
  <c r="L30" i="20"/>
  <c r="L31" i="20"/>
  <c r="L32" i="20"/>
  <c r="L33" i="20"/>
  <c r="L34" i="20"/>
  <c r="L35" i="20"/>
  <c r="L36" i="20"/>
  <c r="L37" i="20"/>
  <c r="L38" i="20"/>
  <c r="L28" i="20"/>
  <c r="H44" i="1"/>
  <c r="C22" i="19"/>
  <c r="B29" i="18" l="1"/>
  <c r="C28" i="18"/>
  <c r="C29" i="18"/>
  <c r="C30" i="18"/>
  <c r="B30" i="18"/>
  <c r="B28" i="18"/>
  <c r="D28" i="18" l="1"/>
  <c r="D30" i="18"/>
  <c r="D29" i="18"/>
  <c r="E30" i="18"/>
  <c r="E28" i="18"/>
  <c r="E29" i="18"/>
  <c r="F30" i="18" l="1"/>
  <c r="F29" i="18"/>
  <c r="F28" i="18"/>
</calcChain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<sst xmlns="http://schemas.openxmlformats.org/spreadsheetml/2006/main" count="411" uniqueCount="188">
  <si>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</si>
  <si>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</si>
  <si>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</si>
  <si>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</si>
  <si>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</si>
  <si>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</si>
  <si>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</si>
  <si>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</si>
  <si>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</si>
  <si>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</si>
  <si>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</si>
  <si>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</si>
  <si>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</si>
  <si>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</si>
  <si>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</si>
  <si>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</si>
  <si>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</si>
  <si>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</si>
  <si>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</si>
  <si>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</si>
  <si>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</si>
  <si>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</si>
  <si>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</si>
  <si>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</si>
  <si>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</si>
  <si>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</si>
  <si>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</si>
  <si>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</si>
  <si>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</si>
  <si>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</si>
  <si>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</si>
  <si>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</si>
  <si>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</si>
  <si>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</si>
  <si>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</si>
  <si>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</si>
  <si>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</si>
  <si>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</si>
  <si>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</si>
  <si>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</si>
  <si>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</si>
  <si>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</si>
  <si>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</si>
  <si>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</si>
  <si>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</si>
  <si>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</si>
  <si>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</si>
  <si>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</si>
  <si>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</si>
  <si>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</si>
  <si>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</si>
  <si>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</si>
  <si>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</si>
  <si>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</si>
  <si>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</si>
  <si>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</si>
  <si>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</si>
  <si>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</si>
  <si>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</si>
  <si>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</si>
  <si>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</si>
  <si>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</si>
  <si>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</si>
  <si>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</si>
  <si>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</si>
  <si>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</si>
  <si>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</si>
  <si>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</si>
  <si>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</si>
  <si>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</si>
  <si>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</si>
  <si>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</si>
  <si>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</si>
  <si>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</si>
  <si>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</si>
  <si>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</si>
  <si>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</si>
  <si>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</si>
  <si>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</si>
  <si>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</si>
  <si>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</si>
  <si>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</si>
  <si>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</si>
  <si>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</si>
  <si>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</si>
  <si>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</si>
  <si>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</si>
  <si>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</si>
  <si>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</si>
  <si>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</si>
  <si>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</si>
  <si>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</si>
  <si>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</si>
  <si>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</si>
  <si>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</si>
  <si>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</si>
  <si>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</si>
  <si>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</si>
  <si>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</si>
  <si>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</si>
  <si>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</si>
  <si>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</si>
  <si>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</si>
  <si>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</si>
  <si>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</si>
  <si>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</si>
  <si>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</si>
  <si>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</si>
  <si>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</si>
  <si>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</si>
  <si>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</si>
  <si>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</si>
  <si>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</si>
  <si>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</si>
  <si>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</si>
  <si>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</si>
  <si>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</si>
  <si>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</si>
  <si>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</si>
  <si>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</si>
  <si>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</si>
  <si>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</si>
  <si>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</si>
  <si>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</si>
  <si>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</si>
  <si>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</si>
  <si>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</si>
  <si>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</si>
  <si>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</si>
  <si>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</si>
  <si>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</si>
  <si>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</si>
  <si>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</si>
  <si>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</si>
  <si>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</si>
  <si>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</si>
  <si>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</si>
  <si>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</si>
  <si>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</si>
  <si>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</si>
  <si>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</si>
  <si>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</si>
  <si>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</si>
  <si>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</si>
  <si>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</si>
  <si>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</si>
  <si>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</si>
  <si>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</si>
  <si>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</si>
  <si>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</si>
  <si>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</si>
  <si>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</si>
  <si>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</si>
  <si>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</si>
  <si>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</si>
  <si>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</si>
  <si>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</si>
  <si>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</si>
  <si>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</si>
  <si>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</si>
  <si>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</si>
  <si>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</si>
  <si>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</si>
  <si>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</si>
  <si>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</si>
  <si>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</si>
  <si>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</si>
  <si>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</si>
  <si>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</si>
  <si>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</si>
  <si>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</si>
  <si>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</si>
  <si>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</si>
  <si>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</si>
  <si>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</si>
  <si>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</si>
  <si>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</si>
  <si>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</si>
  <si>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Find and select and replace for substitution and Sum(c12:c21) for sum of sales</t>
  </si>
  <si>
    <t>First we have to substitute the NA value with 20. So for this go to home button with Cntrl + H. Then click on find and select button and then we replace option. Then apply the sum formula.</t>
  </si>
  <si>
    <t>SUMIF(H2:H40, "&gt;20")</t>
  </si>
  <si>
    <t>text to column method</t>
  </si>
  <si>
    <t>split the text in column by text to column in data menu.</t>
  </si>
  <si>
    <t>mixed functionalities used - Hlookup,vlookup,index,match</t>
  </si>
  <si>
    <r>
      <t xml:space="preserve">This </t>
    </r>
    <r>
      <rPr>
        <sz val="14"/>
        <color rgb="FF000000"/>
        <rFont val="Times New Roman"/>
        <family val="1"/>
      </rPr>
      <t>MATCH</t>
    </r>
    <r>
      <rPr>
        <sz val="14"/>
        <color rgb="FF374151"/>
        <rFont val="Times New Roman"/>
        <family val="1"/>
      </rPr>
      <t xml:space="preserve"> function is searching for the value obtained from the inner </t>
    </r>
    <r>
      <rPr>
        <sz val="14"/>
        <color rgb="FF000000"/>
        <rFont val="Times New Roman"/>
        <family val="1"/>
      </rPr>
      <t>VLOOKUP</t>
    </r>
    <r>
      <rPr>
        <sz val="14"/>
        <color rgb="FF374151"/>
        <rFont val="Times New Roman"/>
        <family val="1"/>
      </rPr>
      <t xml:space="preserve"> within the range </t>
    </r>
    <r>
      <rPr>
        <sz val="14"/>
        <color rgb="FF000000"/>
        <rFont val="Times New Roman"/>
        <family val="1"/>
      </rPr>
      <t>$A$15:$A$24</t>
    </r>
  </si>
  <si>
    <r>
      <t>HLOOKUP</t>
    </r>
    <r>
      <rPr>
        <sz val="14"/>
        <color rgb="FF374151"/>
        <rFont val="Times New Roman"/>
        <family val="1"/>
      </rPr>
      <t xml:space="preserve"> is searching for the value obtained from the middle </t>
    </r>
    <r>
      <rPr>
        <sz val="14"/>
        <color rgb="FF000000"/>
        <rFont val="Times New Roman"/>
        <family val="1"/>
      </rPr>
      <t>VLOOKUP</t>
    </r>
    <r>
      <rPr>
        <sz val="14"/>
        <color rgb="FF374151"/>
        <rFont val="Times New Roman"/>
        <family val="1"/>
      </rPr>
      <t xml:space="preserve"> within the range </t>
    </r>
    <r>
      <rPr>
        <sz val="14"/>
        <color rgb="FF000000"/>
        <rFont val="Times New Roman"/>
        <family val="1"/>
      </rPr>
      <t>$B$15:$J$24</t>
    </r>
    <r>
      <rPr>
        <sz val="14"/>
        <color rgb="FF374151"/>
        <rFont val="Times New Roman"/>
        <family val="1"/>
      </rPr>
      <t xml:space="preserve">. It returns the value from the row specified by the result of the outer </t>
    </r>
    <r>
      <rPr>
        <sz val="14"/>
        <color rgb="FF000000"/>
        <rFont val="Times New Roman"/>
        <family val="1"/>
      </rPr>
      <t>MATCH</t>
    </r>
    <r>
      <rPr>
        <sz val="14"/>
        <color rgb="FF374151"/>
        <rFont val="Times New Roman"/>
        <family val="1"/>
      </rPr>
      <t xml:space="preserve"> function (which is determined by the value obtained from the inner </t>
    </r>
    <r>
      <rPr>
        <sz val="14"/>
        <color rgb="FF000000"/>
        <rFont val="Times New Roman"/>
        <family val="1"/>
      </rPr>
      <t>VLOOKUP</t>
    </r>
    <r>
      <rPr>
        <sz val="14"/>
        <color rgb="FF374151"/>
        <rFont val="Times New Roman"/>
        <family val="1"/>
      </rPr>
      <t>).</t>
    </r>
  </si>
  <si>
    <t>The innermost vlookup:This VLOOKUP is searching for the value in cell B29 within the range $M$15:$N$24. It returns the value in the second column (index 2) of the matched row. This value is used as the lookup_value for the outer MATCH function.</t>
  </si>
  <si>
    <t>The middle VLOOKUP is searching for the value in cell A29 within the range $M$15:$N$24. It returns the value in the second column (index 2) of the matched row. This value is used as the lookup_value for the outer HLOOKUP function.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</si>
</sst>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FFFFFF"/>
      <name val="Courier New"/>
      <family val="3"/>
    </font>
    <font>
      <sz val="8"/>
      <color rgb="FF374151"/>
      <name val="Segoe UI"/>
      <family val="2"/>
    </font>
    <font>
      <sz val="14"/>
      <color rgb="FF000000"/>
      <name val="Times New Roman"/>
      <family val="1"/>
    </font>
    <font>
      <sz val="14"/>
      <color rgb="FF374151"/>
      <name val="Times New Roman"/>
      <family val="1"/>
    </font>
    <font>
      <sz val="14"/>
      <color rgb="FF00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49" fontId="3" fillId="0" borderId="2" xfId="0" applyNumberFormat="1" applyFont="1" applyBorder="1"/>
    <xf numFmtId="49" fontId="3" fillId="0" borderId="3" xfId="0" applyNumberFormat="1" applyFont="1" applyBorder="1"/>
    <xf numFmtId="166" fontId="3" fillId="0" borderId="0" xfId="0" applyNumberFormat="1" applyFont="1"/>
    <xf numFmtId="0" fontId="8" fillId="6" borderId="1" xfId="0" applyFont="1" applyFill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/>
    <xf numFmtId="0" fontId="8" fillId="0" borderId="0" xfId="0" applyFont="1" applyAlignment="1"/>
    <xf numFmtId="0" fontId="20" fillId="0" borderId="0" xfId="0" applyFont="1"/>
    <xf numFmtId="0" fontId="20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21" fillId="0" borderId="0" xfId="0" applyFont="1" applyAlignment="1">
      <alignment horizontal="lef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222250</xdr:colOff>
      <xdr:row>9</xdr:row>
      <xdr:rowOff>96742</xdr:rowOff>
    </xdr:from>
    <xdr:to>
      <xdr:col>12</xdr:col>
      <xdr:colOff>134323</xdr:colOff>
      <xdr:row>19</xdr:row>
      <xdr:rowOff>76588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701B171-FAFC-DDD1-EB02-7961B0E71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16650" y="1811242"/>
          <a:ext cx="4852373" cy="19356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topLeftCell="H1" zoomScale="71" zoomScaleNormal="100" workbookViewId="0">
      <pane ySplit="1" topLeftCell="A2" activePane="bottomLeft" state="frozen"/>
      <selection pane="bottomLeft" activeCell="X2" sqref="X2:X4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4" spans="1:24" x14ac:dyDescent="0.35">
      <c r="H44" s="1">
        <f>SUMIF(H2:H40, "&gt;20")</f>
        <v>1473.0000000000002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A1:X1 A2:C40 E2:X40">
    <cfRule type="cellIs" dxfId="1" priority="2" operator="equal">
      <formula>0</formula>
    </cfRule>
    <cfRule type="cellIs" dxfId="0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8" sqref="D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24.3984375" style="1" customWidth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5">
      <c r="A2" s="2"/>
      <c r="B2" s="5" t="s">
        <v>161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105</v>
      </c>
      <c r="D5" s="1" t="s">
        <v>180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165</v>
      </c>
    </row>
    <row r="2" spans="1:7" s="40" customFormat="1" ht="21" x14ac:dyDescent="0.5">
      <c r="B2" s="40" t="s">
        <v>162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163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VLOOKUP($A6, Dataset!$A$1:$W$40,MATCH(B$5,Dataset!$A$1:$W$1,0),0)</f>
        <v>2.7</v>
      </c>
      <c r="C6" s="11">
        <f>VLOOKUP($A6, Dataset!$A$1:$W$40,MATCH(C$5,Dataset!$A$1:$W$1,0),0)</f>
        <v>7.6</v>
      </c>
      <c r="D6" s="11">
        <f>VLOOKUP($A6, Dataset!$A$1:$W$40,MATCH(D$5,Dataset!$A$1:$W$1,0),0)</f>
        <v>4.2</v>
      </c>
      <c r="E6" s="11">
        <f>VLOOKUP($A6, Dataset!$A$1:$W$40,MATCH(E$5,Dataset!$A$1:$W$1,0),0)</f>
        <v>8.9</v>
      </c>
      <c r="F6" s="11">
        <f>VLOOKUP($A6, Dataset!$A$1:$W$40,MATCH(F$5,Dataset!$A$1:$W$1,0),0)</f>
        <v>4.2</v>
      </c>
    </row>
    <row r="7" spans="1:7" ht="14.5" x14ac:dyDescent="0.35">
      <c r="A7" s="7" t="s">
        <v>4</v>
      </c>
      <c r="B7" s="11">
        <f>VLOOKUP($A7, Dataset!$A$1:$W$40,MATCH(B$5,Dataset!$A$1:$W$1,0),0)</f>
        <v>2.7</v>
      </c>
      <c r="C7" s="11">
        <f>VLOOKUP($A7, Dataset!$A$1:$W$40,MATCH(C$5,Dataset!$A$1:$W$1,0),0)</f>
        <v>7.6</v>
      </c>
      <c r="D7" s="11">
        <f>VLOOKUP($A7, Dataset!$A$1:$W$40,MATCH(D$5,Dataset!$A$1:$W$1,0),0)</f>
        <v>4.2</v>
      </c>
      <c r="E7" s="11">
        <f>VLOOKUP($A7, Dataset!$A$1:$W$40,MATCH(E$5,Dataset!$A$1:$W$1,0),0)</f>
        <v>8.9</v>
      </c>
      <c r="F7" s="11">
        <f>VLOOKUP($A7, Dataset!$A$1:$W$40,MATCH(F$5,Dataset!$A$1:$W$1,0),0)</f>
        <v>4.2</v>
      </c>
    </row>
    <row r="8" spans="1:7" ht="14.5" x14ac:dyDescent="0.35">
      <c r="A8" s="7" t="s">
        <v>7</v>
      </c>
      <c r="B8" s="11">
        <f>VLOOKUP($A8, Dataset!$A$1:$W$40,MATCH(B$5,Dataset!$A$1:$W$1,0),0)</f>
        <v>3.6</v>
      </c>
      <c r="C8" s="11">
        <f>VLOOKUP($A8, Dataset!$A$1:$W$40,MATCH(C$5,Dataset!$A$1:$W$1,0),0)</f>
        <v>11.1</v>
      </c>
      <c r="D8" s="11">
        <f>VLOOKUP($A8, Dataset!$A$1:$W$40,MATCH(D$5,Dataset!$A$1:$W$1,0),0)</f>
        <v>5.8</v>
      </c>
      <c r="E8" s="11">
        <f>VLOOKUP($A8, Dataset!$A$1:$W$40,MATCH(E$5,Dataset!$A$1:$W$1,0),0)</f>
        <v>12.2</v>
      </c>
      <c r="F8" s="11">
        <f>VLOOKUP($A8, Dataset!$A$1:$W$40,MATCH(F$5,Dataset!$A$1:$W$1,0),0)</f>
        <v>5.8</v>
      </c>
    </row>
    <row r="9" spans="1:7" ht="14.5" x14ac:dyDescent="0.35">
      <c r="A9" s="7" t="s">
        <v>8</v>
      </c>
      <c r="B9" s="11">
        <f>VLOOKUP($A9, Dataset!$A$1:$W$40,MATCH(B$5,Dataset!$A$1:$W$1,0),0)</f>
        <v>4.9000000000000004</v>
      </c>
      <c r="C9" s="11">
        <f>VLOOKUP($A9, Dataset!$A$1:$W$40,MATCH(C$5,Dataset!$A$1:$W$1,0),0)</f>
        <v>13.3</v>
      </c>
      <c r="D9" s="11">
        <f>VLOOKUP($A9, Dataset!$A$1:$W$40,MATCH(D$5,Dataset!$A$1:$W$1,0),0)</f>
        <v>8.1</v>
      </c>
      <c r="E9" s="11">
        <f>VLOOKUP($A9, Dataset!$A$1:$W$40,MATCH(E$5,Dataset!$A$1:$W$1,0),0)</f>
        <v>17</v>
      </c>
      <c r="F9" s="11">
        <f>VLOOKUP($A9, Dataset!$A$1:$W$40,MATCH(F$5,Dataset!$A$1:$W$1,0),0)</f>
        <v>8.1</v>
      </c>
    </row>
    <row r="10" spans="1:7" ht="14.5" x14ac:dyDescent="0.35">
      <c r="A10" s="7" t="s">
        <v>11</v>
      </c>
      <c r="B10" s="11">
        <f>VLOOKUP($A10, Dataset!$A$1:$W$40,MATCH(B$5,Dataset!$A$1:$W$1,0),0)</f>
        <v>9.4</v>
      </c>
      <c r="C10" s="11">
        <f>VLOOKUP($A10, Dataset!$A$1:$W$40,MATCH(C$5,Dataset!$A$1:$W$1,0),0)</f>
        <v>28.3</v>
      </c>
      <c r="D10" s="11">
        <f>VLOOKUP($A10, Dataset!$A$1:$W$40,MATCH(D$5,Dataset!$A$1:$W$1,0),0)</f>
        <v>16.100000000000001</v>
      </c>
      <c r="E10" s="11">
        <f>VLOOKUP($A10, Dataset!$A$1:$W$40,MATCH(E$5,Dataset!$A$1:$W$1,0),0)</f>
        <v>32.799999999999997</v>
      </c>
      <c r="F10" s="11">
        <f>VLOOKUP($A10, Dataset!$A$1:$W$40,MATCH(F$5,Dataset!$A$1:$W$1,0),0)</f>
        <v>16.100000000000001</v>
      </c>
    </row>
    <row r="11" spans="1:7" ht="14.5" x14ac:dyDescent="0.35">
      <c r="A11" s="7" t="s">
        <v>12</v>
      </c>
      <c r="B11" s="11">
        <f>VLOOKUP($A11, Dataset!$A$1:$W$40,MATCH(B$5,Dataset!$A$1:$W$1,0),0)</f>
        <v>11.6</v>
      </c>
      <c r="C11" s="11">
        <f>VLOOKUP($A11, Dataset!$A$1:$W$40,MATCH(C$5,Dataset!$A$1:$W$1,0),0)</f>
        <v>35.200000000000003</v>
      </c>
      <c r="D11" s="11">
        <f>VLOOKUP($A11, Dataset!$A$1:$W$40,MATCH(D$5,Dataset!$A$1:$W$1,0),0)</f>
        <v>21.3</v>
      </c>
      <c r="E11" s="11">
        <f>VLOOKUP($A11, Dataset!$A$1:$W$40,MATCH(E$5,Dataset!$A$1:$W$1,0),0)</f>
        <v>43</v>
      </c>
      <c r="F11" s="11">
        <f>VLOOKUP($A11, Dataset!$A$1:$W$40,MATCH(F$5,Dataset!$A$1:$W$1,0),0)</f>
        <v>21.3</v>
      </c>
    </row>
    <row r="12" spans="1:7" ht="14.5" x14ac:dyDescent="0.35">
      <c r="A12" s="7" t="s">
        <v>14</v>
      </c>
      <c r="B12" s="11">
        <f>VLOOKUP($A12, Dataset!$A$1:$W$40,MATCH(B$5,Dataset!$A$1:$W$1,0),0)</f>
        <v>18.399999999999999</v>
      </c>
      <c r="C12" s="11">
        <f>VLOOKUP($A12, Dataset!$A$1:$W$40,MATCH(C$5,Dataset!$A$1:$W$1,0),0)</f>
        <v>55.6</v>
      </c>
      <c r="D12" s="11">
        <f>VLOOKUP($A12, Dataset!$A$1:$W$40,MATCH(D$5,Dataset!$A$1:$W$1,0),0)</f>
        <v>33.799999999999997</v>
      </c>
      <c r="E12" s="11">
        <f>VLOOKUP($A12, Dataset!$A$1:$W$40,MATCH(E$5,Dataset!$A$1:$W$1,0),0)</f>
        <v>67.900000000000006</v>
      </c>
      <c r="F12" s="11">
        <f>VLOOKUP($A12, Dataset!$A$1:$W$40,MATCH(F$5,Dataset!$A$1:$W$1,0),0)</f>
        <v>33.799999999999997</v>
      </c>
    </row>
    <row r="13" spans="1:7" ht="14.5" x14ac:dyDescent="0.35">
      <c r="A13" s="7" t="s">
        <v>15</v>
      </c>
      <c r="B13" s="11">
        <f>VLOOKUP($A13, Dataset!$A$1:$W$40,MATCH(B$5,Dataset!$A$1:$W$1,0),0)</f>
        <v>0</v>
      </c>
      <c r="C13" s="11">
        <f>VLOOKUP($A13, Dataset!$A$1:$W$40,MATCH(C$5,Dataset!$A$1:$W$1,0),0)</f>
        <v>0</v>
      </c>
      <c r="D13" s="11">
        <f>VLOOKUP($A13, Dataset!$A$1:$W$40,MATCH(D$5,Dataset!$A$1:$W$1,0),0)</f>
        <v>0</v>
      </c>
      <c r="E13" s="11">
        <f>VLOOKUP($A13, Dataset!$A$1:$W$40,MATCH(E$5,Dataset!$A$1:$W$1,0),0)</f>
        <v>0</v>
      </c>
      <c r="F13" s="11">
        <f>VLOOKUP($A13, Dataset!$A$1:$W$40,MATCH(F$5,Dataset!$A$1:$W$1,0),0)</f>
        <v>0</v>
      </c>
    </row>
    <row r="14" spans="1:7" ht="14.5" x14ac:dyDescent="0.35">
      <c r="A14" s="7" t="s">
        <v>16</v>
      </c>
      <c r="B14" s="11">
        <f>VLOOKUP($A14, Dataset!$A$1:$W$40,MATCH(B$5,Dataset!$A$1:$W$1,0),0)</f>
        <v>21.9</v>
      </c>
      <c r="C14" s="11">
        <f>VLOOKUP($A14, Dataset!$A$1:$W$40,MATCH(C$5,Dataset!$A$1:$W$1,0),0)</f>
        <v>61.5</v>
      </c>
      <c r="D14" s="11">
        <f>VLOOKUP($A14, Dataset!$A$1:$W$40,MATCH(D$5,Dataset!$A$1:$W$1,0),0)</f>
        <v>40.1</v>
      </c>
      <c r="E14" s="11">
        <f>VLOOKUP($A14, Dataset!$A$1:$W$40,MATCH(E$5,Dataset!$A$1:$W$1,0),0)</f>
        <v>76.599999999999994</v>
      </c>
      <c r="F14" s="11">
        <f>VLOOKUP($A14, Dataset!$A$1:$W$40,MATCH(F$5,Dataset!$A$1:$W$1,0),0)</f>
        <v>40.1</v>
      </c>
    </row>
    <row r="15" spans="1:7" ht="14.5" x14ac:dyDescent="0.35">
      <c r="A15" s="7" t="s">
        <v>18</v>
      </c>
      <c r="B15" s="11">
        <f>VLOOKUP($A15, Dataset!$A$1:$W$40,MATCH(B$5,Dataset!$A$1:$W$1,0),0)</f>
        <v>26.8</v>
      </c>
      <c r="C15" s="11">
        <f>VLOOKUP($A15, Dataset!$A$1:$W$40,MATCH(C$5,Dataset!$A$1:$W$1,0),0)</f>
        <v>79.599999999999994</v>
      </c>
      <c r="D15" s="11">
        <f>VLOOKUP($A15, Dataset!$A$1:$W$40,MATCH(D$5,Dataset!$A$1:$W$1,0),0)</f>
        <v>47.9</v>
      </c>
      <c r="E15" s="11">
        <f>VLOOKUP($A15, Dataset!$A$1:$W$40,MATCH(E$5,Dataset!$A$1:$W$1,0),0)</f>
        <v>96.8</v>
      </c>
      <c r="F15" s="11">
        <f>VLOOKUP($A15, Dataset!$A$1:$W$40,MATCH(F$5,Dataset!$A$1:$W$1,0),0)</f>
        <v>47.9</v>
      </c>
    </row>
    <row r="16" spans="1:7" ht="14.5" x14ac:dyDescent="0.35">
      <c r="A16" s="7" t="s">
        <v>20</v>
      </c>
      <c r="B16" s="11">
        <f>VLOOKUP($A16, Dataset!$A$1:$W$40,MATCH(B$5,Dataset!$A$1:$W$1,0),0)</f>
        <v>28.5</v>
      </c>
      <c r="C16" s="11">
        <f>VLOOKUP($A16, Dataset!$A$1:$W$40,MATCH(C$5,Dataset!$A$1:$W$1,0),0)</f>
        <v>85.4</v>
      </c>
      <c r="D16" s="11">
        <f>VLOOKUP($A16, Dataset!$A$1:$W$40,MATCH(D$5,Dataset!$A$1:$W$1,0),0)</f>
        <v>52.3</v>
      </c>
      <c r="E16" s="11">
        <f>VLOOKUP($A16, Dataset!$A$1:$W$40,MATCH(E$5,Dataset!$A$1:$W$1,0),0)</f>
        <v>106.1</v>
      </c>
      <c r="F16" s="11">
        <f>VLOOKUP($A16, Dataset!$A$1:$W$40,MATCH(F$5,Dataset!$A$1:$W$1,0),0)</f>
        <v>52.3</v>
      </c>
    </row>
    <row r="17" spans="1:6" ht="14.5" x14ac:dyDescent="0.35">
      <c r="A17" s="7" t="s">
        <v>22</v>
      </c>
      <c r="B17" s="11">
        <f>VLOOKUP($A17, Dataset!$A$1:$W$40,MATCH(B$5,Dataset!$A$1:$W$1,0),0)</f>
        <v>30.7</v>
      </c>
      <c r="C17" s="11">
        <f>VLOOKUP($A17, Dataset!$A$1:$W$40,MATCH(C$5,Dataset!$A$1:$W$1,0),0)</f>
        <v>92.1</v>
      </c>
      <c r="D17" s="11">
        <f>VLOOKUP($A17, Dataset!$A$1:$W$40,MATCH(D$5,Dataset!$A$1:$W$1,0),0)</f>
        <v>57</v>
      </c>
      <c r="E17" s="11">
        <f>VLOOKUP($A17, Dataset!$A$1:$W$40,MATCH(E$5,Dataset!$A$1:$W$1,0),0)</f>
        <v>115.1</v>
      </c>
      <c r="F17" s="11">
        <f>VLOOKUP($A17, Dataset!$A$1:$W$40,MATCH(F$5,Dataset!$A$1:$W$1,0),0)</f>
        <v>57</v>
      </c>
    </row>
    <row r="18" spans="1:6" ht="14.5" x14ac:dyDescent="0.35">
      <c r="A18" s="7" t="s">
        <v>23</v>
      </c>
      <c r="B18" s="11">
        <f>VLOOKUP($A18, Dataset!$A$1:$W$40,MATCH(B$5,Dataset!$A$1:$W$1,0),0)</f>
        <v>33.799999999999997</v>
      </c>
      <c r="C18" s="11">
        <f>VLOOKUP($A18, Dataset!$A$1:$W$40,MATCH(C$5,Dataset!$A$1:$W$1,0),0)</f>
        <v>101.3</v>
      </c>
      <c r="D18" s="11">
        <f>VLOOKUP($A18, Dataset!$A$1:$W$40,MATCH(D$5,Dataset!$A$1:$W$1,0),0)</f>
        <v>61.4</v>
      </c>
      <c r="E18" s="11">
        <f>VLOOKUP($A18, Dataset!$A$1:$W$40,MATCH(E$5,Dataset!$A$1:$W$1,0),0)</f>
        <v>124.4</v>
      </c>
      <c r="F18" s="11">
        <f>VLOOKUP($A18, Dataset!$A$1:$W$40,MATCH(F$5,Dataset!$A$1:$W$1,0),0)</f>
        <v>61.4</v>
      </c>
    </row>
    <row r="19" spans="1:6" ht="14.5" x14ac:dyDescent="0.35">
      <c r="A19" s="7" t="s">
        <v>24</v>
      </c>
      <c r="B19" s="11">
        <f>VLOOKUP($A19, Dataset!$A$1:$W$40,MATCH(B$5,Dataset!$A$1:$W$1,0),0)</f>
        <v>34.700000000000003</v>
      </c>
      <c r="C19" s="11">
        <f>VLOOKUP($A19, Dataset!$A$1:$W$40,MATCH(C$5,Dataset!$A$1:$W$1,0),0)</f>
        <v>106.1</v>
      </c>
      <c r="D19" s="11">
        <f>VLOOKUP($A19, Dataset!$A$1:$W$40,MATCH(D$5,Dataset!$A$1:$W$1,0),0)</f>
        <v>63.6</v>
      </c>
      <c r="E19" s="11">
        <f>VLOOKUP($A19, Dataset!$A$1:$W$40,MATCH(E$5,Dataset!$A$1:$W$1,0),0)</f>
        <v>128.6</v>
      </c>
      <c r="F19" s="11">
        <f>VLOOKUP($A19, Dataset!$A$1:$W$40,MATCH(F$5,Dataset!$A$1:$W$1,0),0)</f>
        <v>63.6</v>
      </c>
    </row>
    <row r="20" spans="1:6" ht="14.5" x14ac:dyDescent="0.35">
      <c r="A20" s="7" t="s">
        <v>28</v>
      </c>
      <c r="B20" s="11">
        <f>VLOOKUP($A20, Dataset!$A$1:$W$40,MATCH(B$5,Dataset!$A$1:$W$1,0),0)</f>
        <v>0</v>
      </c>
      <c r="C20" s="11">
        <f>VLOOKUP($A20, Dataset!$A$1:$W$40,MATCH(C$5,Dataset!$A$1:$W$1,0),0)</f>
        <v>0</v>
      </c>
      <c r="D20" s="11">
        <f>VLOOKUP($A20, Dataset!$A$1:$W$40,MATCH(D$5,Dataset!$A$1:$W$1,0),0)</f>
        <v>0</v>
      </c>
      <c r="E20" s="11">
        <f>VLOOKUP($A20, Dataset!$A$1:$W$40,MATCH(E$5,Dataset!$A$1:$W$1,0),0)</f>
        <v>0</v>
      </c>
      <c r="F20" s="11">
        <f>VLOOKUP($A20, Dataset!$A$1:$W$40,MATCH(F$5,Dataset!$A$1:$W$1,0),0)</f>
        <v>0</v>
      </c>
    </row>
    <row r="21" spans="1:6" ht="14.5" x14ac:dyDescent="0.35">
      <c r="A21" s="7" t="s">
        <v>57</v>
      </c>
      <c r="B21" s="11">
        <f>VLOOKUP($A21, Dataset!$A$1:$W$40,MATCH(B$5,Dataset!$A$1:$W$1,0),0)</f>
        <v>41.3</v>
      </c>
      <c r="C21" s="11">
        <f>VLOOKUP($A21, Dataset!$A$1:$W$40,MATCH(C$5,Dataset!$A$1:$W$1,0),0)</f>
        <v>124.4</v>
      </c>
      <c r="D21" s="11">
        <f>VLOOKUP($A21, Dataset!$A$1:$W$40,MATCH(D$5,Dataset!$A$1:$W$1,0),0)</f>
        <v>75</v>
      </c>
      <c r="E21" s="11">
        <f>VLOOKUP($A21, Dataset!$A$1:$W$40,MATCH(E$5,Dataset!$A$1:$W$1,0),0)</f>
        <v>151.5</v>
      </c>
      <c r="F21" s="11">
        <f>VLOOKUP($A21, Dataset!$A$1:$W$40,MATCH(F$5,Dataset!$A$1:$W$1,0),0)</f>
        <v>75</v>
      </c>
    </row>
    <row r="22" spans="1:6" ht="14.5" x14ac:dyDescent="0.35">
      <c r="A22" s="7" t="s">
        <v>58</v>
      </c>
      <c r="B22" s="11">
        <f>VLOOKUP($A22, Dataset!$A$1:$W$40,MATCH(B$5,Dataset!$A$1:$W$1,0),0)</f>
        <v>-1</v>
      </c>
      <c r="C22" s="11">
        <f>VLOOKUP($A22, Dataset!$A$1:$W$40,MATCH(C$5,Dataset!$A$1:$W$1,0),0)</f>
        <v>-1</v>
      </c>
      <c r="D22" s="11">
        <f>VLOOKUP($A22, Dataset!$A$1:$W$40,MATCH(D$5,Dataset!$A$1:$W$1,0),0)</f>
        <v>-1</v>
      </c>
      <c r="E22" s="11">
        <f>VLOOKUP($A22, Dataset!$A$1:$W$40,MATCH(E$5,Dataset!$A$1:$W$1,0),0)</f>
        <v>-1</v>
      </c>
      <c r="F22" s="11">
        <f>VLOOKUP($A22, Dataset!$A$1:$W$40,MATCH(F$5,Dataset!$A$1:$W$1,0),0)</f>
        <v>-1</v>
      </c>
    </row>
    <row r="23" spans="1:6" ht="14.5" x14ac:dyDescent="0.35">
      <c r="A23" s="7" t="s">
        <v>31</v>
      </c>
      <c r="B23" s="11">
        <f>VLOOKUP($A23, Dataset!$A$1:$W$40,MATCH(B$5,Dataset!$A$1:$W$1,0),0)</f>
        <v>45</v>
      </c>
      <c r="C23" s="11">
        <f>VLOOKUP($A23, Dataset!$A$1:$W$40,MATCH(C$5,Dataset!$A$1:$W$1,0),0)</f>
        <v>133.4</v>
      </c>
      <c r="D23" s="11">
        <f>VLOOKUP($A23, Dataset!$A$1:$W$40,MATCH(D$5,Dataset!$A$1:$W$1,0),0)</f>
        <v>79.400000000000006</v>
      </c>
      <c r="E23" s="11">
        <f>VLOOKUP($A23, Dataset!$A$1:$W$40,MATCH(E$5,Dataset!$A$1:$W$1,0),0)</f>
        <v>160.9</v>
      </c>
      <c r="F23" s="11">
        <f>VLOOKUP($A23, Dataset!$A$1:$W$40,MATCH(F$5,Dataset!$A$1:$W$1,0),0)</f>
        <v>79.400000000000006</v>
      </c>
    </row>
    <row r="24" spans="1:6" ht="14.5" x14ac:dyDescent="0.35">
      <c r="A24" s="7" t="s">
        <v>32</v>
      </c>
      <c r="B24" s="11">
        <f>VLOOKUP($A24, Dataset!$A$1:$W$40,MATCH(B$5,Dataset!$A$1:$W$1,0),0)</f>
        <v>-1</v>
      </c>
      <c r="C24" s="11">
        <f>VLOOKUP($A24, Dataset!$A$1:$W$40,MATCH(C$5,Dataset!$A$1:$W$1,0),0)</f>
        <v>-1</v>
      </c>
      <c r="D24" s="11">
        <f>VLOOKUP($A24, Dataset!$A$1:$W$40,MATCH(D$5,Dataset!$A$1:$W$1,0),0)</f>
        <v>-1</v>
      </c>
      <c r="E24" s="11">
        <f>VLOOKUP($A24, Dataset!$A$1:$W$40,MATCH(E$5,Dataset!$A$1:$W$1,0),0)</f>
        <v>-1</v>
      </c>
      <c r="F24" s="11">
        <f>VLOOKUP($A24, Dataset!$A$1:$W$40,MATCH(F$5,Dataset!$A$1:$W$1,0),0)</f>
        <v>-1</v>
      </c>
    </row>
    <row r="25" spans="1:6" ht="14.5" x14ac:dyDescent="0.35">
      <c r="A25" s="7" t="s">
        <v>34</v>
      </c>
      <c r="B25" s="11">
        <f>VLOOKUP($A25, Dataset!$A$1:$W$40,MATCH(B$5,Dataset!$A$1:$W$1,0),0)</f>
        <v>43.3</v>
      </c>
      <c r="C25" s="11">
        <f>VLOOKUP($A25, Dataset!$A$1:$W$40,MATCH(C$5,Dataset!$A$1:$W$1,0),0)</f>
        <v>128.6</v>
      </c>
      <c r="D25" s="11">
        <f>VLOOKUP($A25, Dataset!$A$1:$W$40,MATCH(D$5,Dataset!$A$1:$W$1,0),0)</f>
        <v>79.400000000000006</v>
      </c>
      <c r="E25" s="11">
        <f>VLOOKUP($A25, Dataset!$A$1:$W$40,MATCH(E$5,Dataset!$A$1:$W$1,0),0)</f>
        <v>160.9</v>
      </c>
      <c r="F25" s="11">
        <f>VLOOKUP($A25, Dataset!$A$1:$W$40,MATCH(F$5,Dataset!$A$1:$W$1,0),0)</f>
        <v>79.400000000000006</v>
      </c>
    </row>
    <row r="26" spans="1:6" ht="14.5" x14ac:dyDescent="0.35">
      <c r="A26" s="7" t="s">
        <v>37</v>
      </c>
      <c r="B26" s="11">
        <f>VLOOKUP($A26, Dataset!$A$1:$W$40,MATCH(B$5,Dataset!$A$1:$W$1,0),0)</f>
        <v>49.1</v>
      </c>
      <c r="C26" s="11">
        <f>VLOOKUP($A26, Dataset!$A$1:$W$40,MATCH(C$5,Dataset!$A$1:$W$1,0),0)</f>
        <v>146.80000000000001</v>
      </c>
      <c r="D26" s="11">
        <f>VLOOKUP($A26, Dataset!$A$1:$W$40,MATCH(D$5,Dataset!$A$1:$W$1,0),0)</f>
        <v>90.9</v>
      </c>
      <c r="E26" s="11">
        <f>VLOOKUP($A26, Dataset!$A$1:$W$40,MATCH(E$5,Dataset!$A$1:$W$1,0),0)</f>
        <v>183.5</v>
      </c>
      <c r="F26" s="11">
        <f>VLOOKUP($A26, Dataset!$A$1:$W$40,MATCH(F$5,Dataset!$A$1:$W$1,0),0)</f>
        <v>90.9</v>
      </c>
    </row>
    <row r="27" spans="1:6" ht="14.5" x14ac:dyDescent="0.35">
      <c r="A27" s="7" t="s">
        <v>39</v>
      </c>
      <c r="B27" s="11">
        <f>VLOOKUP($A27, Dataset!$A$1:$W$40,MATCH(B$5,Dataset!$A$1:$W$1,0),0)</f>
        <v>51.8</v>
      </c>
      <c r="C27" s="11">
        <f>VLOOKUP($A27, Dataset!$A$1:$W$40,MATCH(C$5,Dataset!$A$1:$W$1,0),0)</f>
        <v>156.4</v>
      </c>
      <c r="D27" s="11">
        <f>VLOOKUP($A27, Dataset!$A$1:$W$40,MATCH(D$5,Dataset!$A$1:$W$1,0),0)</f>
        <v>93.1</v>
      </c>
      <c r="E27" s="11">
        <f>VLOOKUP($A27, Dataset!$A$1:$W$40,MATCH(E$5,Dataset!$A$1:$W$1,0),0)</f>
        <v>188.1</v>
      </c>
      <c r="F27" s="11">
        <f>VLOOKUP($A27, Dataset!$A$1:$W$40,MATCH(F$5,Dataset!$A$1:$W$1,0),0)</f>
        <v>93.1</v>
      </c>
    </row>
    <row r="28" spans="1:6" ht="14.5" x14ac:dyDescent="0.35">
      <c r="A28" s="18" t="s">
        <v>82</v>
      </c>
      <c r="B28" s="30">
        <f>MIN(B$6:B$27)</f>
        <v>-1</v>
      </c>
      <c r="C28" s="30">
        <f>MIN(C$6:C$27)</f>
        <v>-1</v>
      </c>
      <c r="D28" s="30">
        <f t="shared" ref="D28:F28" si="0">MIN(D$6:D$27)</f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MAX(B$6:B$27)</f>
        <v>51.8</v>
      </c>
      <c r="C29" s="30">
        <f t="shared" ref="C29:F29" si="1">MAX(C$6:C$27)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AVERAGE(B$6:B$27)</f>
        <v>20.827272727272728</v>
      </c>
      <c r="C30" s="30">
        <f t="shared" ref="C30:F30" si="2">AVERAGE(C$6:C$27)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E15" sqref="E1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175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152</v>
      </c>
    </row>
    <row r="5" spans="1:10" ht="18.5" x14ac:dyDescent="0.45">
      <c r="A5" s="42" t="s">
        <v>53</v>
      </c>
      <c r="B5" s="39" t="s">
        <v>181</v>
      </c>
    </row>
    <row r="6" spans="1:10" ht="18.5" x14ac:dyDescent="0.45">
      <c r="A6" s="42" t="s">
        <v>154</v>
      </c>
      <c r="B6" s="39" t="s">
        <v>182</v>
      </c>
    </row>
    <row r="7" spans="1:10" ht="18.5" x14ac:dyDescent="0.45">
      <c r="A7" s="42"/>
      <c r="B7" s="39"/>
    </row>
    <row r="9" spans="1:10" ht="23.5" x14ac:dyDescent="0.55000000000000004">
      <c r="A9" s="17" t="s">
        <v>166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163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43" t="s">
        <v>122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43" t="s">
        <v>123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43" t="s">
        <v>124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43" t="s">
        <v>125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43" t="s">
        <v>126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43" t="s">
        <v>127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43" t="s">
        <v>128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43" t="s">
        <v>129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43" t="s">
        <v>130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43" t="s">
        <v>131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43" t="s">
        <v>132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43" t="s">
        <v>133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43" t="s">
        <v>134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43" t="s">
        <v>135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43" t="s">
        <v>136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43" t="s">
        <v>137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43" t="s">
        <v>138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43" t="s">
        <v>139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43" t="s">
        <v>140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43" t="s">
        <v>141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43" t="s">
        <v>142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43" t="s">
        <v>143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43" t="s">
        <v>144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43" t="s">
        <v>145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43" t="s">
        <v>146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43" t="s">
        <v>147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43" t="s">
        <v>148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43" t="s">
        <v>149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43" t="s">
        <v>150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43" t="s">
        <v>151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43" t="s">
        <v>113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43" t="s">
        <v>114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43" t="s">
        <v>115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43" t="s">
        <v>116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43" t="s">
        <v>117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43" t="s">
        <v>118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43" t="s">
        <v>119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43" t="s">
        <v>120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44" t="s">
        <v>121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P22"/>
  <sheetViews>
    <sheetView zoomScaleNormal="100" workbookViewId="0">
      <selection activeCell="D14" sqref="D14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6" ht="21" x14ac:dyDescent="0.5">
      <c r="A1" s="41" t="s">
        <v>85</v>
      </c>
      <c r="B1" s="40" t="s">
        <v>168</v>
      </c>
    </row>
    <row r="2" spans="1:16" ht="18.5" x14ac:dyDescent="0.45">
      <c r="B2" s="39" t="s">
        <v>167</v>
      </c>
    </row>
    <row r="5" spans="1:16" ht="14.5" x14ac:dyDescent="0.35">
      <c r="B5" s="1" t="s">
        <v>152</v>
      </c>
    </row>
    <row r="6" spans="1:16" ht="14.5" x14ac:dyDescent="0.35">
      <c r="A6" s="3" t="s">
        <v>53</v>
      </c>
      <c r="B6" s="47" t="s">
        <v>178</v>
      </c>
      <c r="C6" s="47"/>
      <c r="D6" s="47"/>
      <c r="E6" s="47"/>
      <c r="F6" s="47"/>
      <c r="G6" s="47"/>
      <c r="H6" s="47"/>
    </row>
    <row r="7" spans="1:16" ht="14.5" x14ac:dyDescent="0.35">
      <c r="A7" s="3" t="s">
        <v>154</v>
      </c>
      <c r="B7" s="48" t="s">
        <v>179</v>
      </c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</row>
    <row r="10" spans="1:16" ht="23.5" x14ac:dyDescent="0.55000000000000004">
      <c r="A10" s="17" t="s">
        <v>163</v>
      </c>
    </row>
    <row r="11" spans="1:16" ht="14.5" x14ac:dyDescent="0.35">
      <c r="A11" s="31" t="s">
        <v>86</v>
      </c>
      <c r="B11" s="16" t="s">
        <v>87</v>
      </c>
      <c r="C11" s="16" t="s">
        <v>88</v>
      </c>
    </row>
    <row r="12" spans="1:16" ht="14.5" x14ac:dyDescent="0.35">
      <c r="A12" s="31">
        <v>44927</v>
      </c>
      <c r="B12" s="16" t="s">
        <v>59</v>
      </c>
      <c r="C12" s="16">
        <v>200</v>
      </c>
    </row>
    <row r="13" spans="1:16" ht="14.5" x14ac:dyDescent="0.35">
      <c r="A13" s="31">
        <v>44928</v>
      </c>
      <c r="B13" s="16" t="s">
        <v>60</v>
      </c>
      <c r="C13" s="16">
        <v>20</v>
      </c>
    </row>
    <row r="14" spans="1:16" ht="14.5" x14ac:dyDescent="0.35">
      <c r="A14" s="31">
        <v>44929</v>
      </c>
      <c r="B14" s="16" t="s">
        <v>61</v>
      </c>
      <c r="C14" s="16">
        <v>50</v>
      </c>
    </row>
    <row r="15" spans="1:16" ht="14.5" x14ac:dyDescent="0.35">
      <c r="A15" s="31">
        <v>44930</v>
      </c>
      <c r="B15" s="16" t="s">
        <v>62</v>
      </c>
      <c r="C15" s="16">
        <v>20</v>
      </c>
    </row>
    <row r="16" spans="1:16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155</v>
      </c>
      <c r="C17" s="16">
        <v>150</v>
      </c>
    </row>
    <row r="18" spans="1:3" ht="14.5" x14ac:dyDescent="0.35">
      <c r="A18" s="31">
        <v>44933</v>
      </c>
      <c r="B18" s="16" t="s">
        <v>156</v>
      </c>
      <c r="C18" s="16">
        <v>80</v>
      </c>
    </row>
    <row r="19" spans="1:3" ht="14.5" x14ac:dyDescent="0.35">
      <c r="A19" s="31">
        <v>44934</v>
      </c>
      <c r="B19" s="16" t="s">
        <v>157</v>
      </c>
      <c r="C19" s="16">
        <v>20</v>
      </c>
    </row>
    <row r="20" spans="1:3" ht="14.5" x14ac:dyDescent="0.35">
      <c r="A20" s="31">
        <v>44935</v>
      </c>
      <c r="B20" s="16" t="s">
        <v>158</v>
      </c>
      <c r="C20" s="16">
        <v>30</v>
      </c>
    </row>
    <row r="21" spans="1:3" ht="14.5" x14ac:dyDescent="0.35">
      <c r="A21" s="31">
        <v>44936</v>
      </c>
      <c r="B21" s="16" t="s">
        <v>159</v>
      </c>
      <c r="C21" s="16">
        <v>20</v>
      </c>
    </row>
    <row r="22" spans="1:3" ht="14.5" x14ac:dyDescent="0.35">
      <c r="B22" s="16" t="s">
        <v>160</v>
      </c>
      <c r="C22" s="24">
        <f>SUM(C12:C21)</f>
        <v>600</v>
      </c>
    </row>
  </sheetData>
  <mergeCells count="2">
    <mergeCell ref="B6:H6"/>
    <mergeCell ref="B7:P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AJ41"/>
  <sheetViews>
    <sheetView tabSelected="1" zoomScale="60" zoomScaleNormal="60" workbookViewId="0">
      <selection activeCell="L12" sqref="L12"/>
    </sheetView>
  </sheetViews>
  <sheetFormatPr defaultColWidth="11" defaultRowHeight="13" x14ac:dyDescent="0.3"/>
  <cols>
    <col min="1" max="1" width="28.19921875" style="2" bestFit="1" customWidth="1"/>
    <col min="2" max="4" width="11" style="2"/>
    <col min="5" max="5" width="11" style="2" customWidth="1"/>
    <col min="6" max="16384" width="11" style="2"/>
  </cols>
  <sheetData>
    <row r="1" spans="1:36" ht="21" x14ac:dyDescent="0.5">
      <c r="A1" s="41" t="s">
        <v>98</v>
      </c>
      <c r="B1" s="40" t="s">
        <v>176</v>
      </c>
    </row>
    <row r="3" spans="1:36" ht="14.5" x14ac:dyDescent="0.35">
      <c r="B3" s="1" t="s">
        <v>152</v>
      </c>
    </row>
    <row r="4" spans="1:36" ht="18.5" x14ac:dyDescent="0.45">
      <c r="A4" s="42" t="s">
        <v>53</v>
      </c>
      <c r="B4" s="1"/>
      <c r="C4" s="53" t="s">
        <v>183</v>
      </c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</row>
    <row r="5" spans="1:36" ht="18.5" x14ac:dyDescent="0.45">
      <c r="A5" s="42" t="s">
        <v>154</v>
      </c>
      <c r="B5" s="53" t="s">
        <v>186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</row>
    <row r="6" spans="1:36" ht="18" x14ac:dyDescent="0.4">
      <c r="A6" s="3"/>
      <c r="B6" s="55" t="s">
        <v>184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2"/>
      <c r="Q6" s="52"/>
      <c r="R6" s="52"/>
      <c r="S6" s="52"/>
      <c r="T6" s="52"/>
      <c r="U6" s="52"/>
      <c r="V6" s="52"/>
    </row>
    <row r="7" spans="1:36" ht="18" x14ac:dyDescent="0.4">
      <c r="B7" s="55" t="s">
        <v>187</v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</row>
    <row r="8" spans="1:36" ht="18" x14ac:dyDescent="0.4">
      <c r="B8" s="54" t="s">
        <v>185</v>
      </c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</row>
    <row r="9" spans="1:36" x14ac:dyDescent="0.3"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</row>
    <row r="10" spans="1:36" x14ac:dyDescent="0.3">
      <c r="P10" s="50"/>
      <c r="Q10" s="50"/>
      <c r="R10" s="50"/>
      <c r="S10" s="50"/>
      <c r="T10" s="50"/>
      <c r="U10" s="50"/>
      <c r="V10" s="50"/>
      <c r="W10" s="50"/>
      <c r="X10" s="50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</row>
    <row r="11" spans="1:36" x14ac:dyDescent="0.3"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</row>
    <row r="12" spans="1:36" x14ac:dyDescent="0.3"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1"/>
      <c r="AG12" s="51"/>
      <c r="AH12" s="51"/>
      <c r="AI12" s="51"/>
      <c r="AJ12" s="51"/>
    </row>
    <row r="14" spans="1:36" ht="23.5" x14ac:dyDescent="0.55000000000000004">
      <c r="A14" s="17" t="s">
        <v>163</v>
      </c>
      <c r="M14" s="17" t="s">
        <v>164</v>
      </c>
    </row>
    <row r="15" spans="1:36" ht="14.5" x14ac:dyDescent="0.35">
      <c r="A15" s="25"/>
      <c r="B15" s="25" t="s">
        <v>89</v>
      </c>
      <c r="C15" s="25" t="s">
        <v>90</v>
      </c>
      <c r="D15" s="25" t="s">
        <v>91</v>
      </c>
      <c r="E15" s="25" t="s">
        <v>92</v>
      </c>
      <c r="F15" s="25" t="s">
        <v>93</v>
      </c>
      <c r="G15" s="25" t="s">
        <v>94</v>
      </c>
      <c r="H15" s="25" t="s">
        <v>95</v>
      </c>
      <c r="I15" s="25" t="s">
        <v>96</v>
      </c>
      <c r="J15" s="25" t="s">
        <v>97</v>
      </c>
      <c r="M15" s="18" t="s">
        <v>43</v>
      </c>
      <c r="N15" s="18" t="s">
        <v>99</v>
      </c>
    </row>
    <row r="16" spans="1:36" ht="14.5" x14ac:dyDescent="0.35">
      <c r="A16" s="25" t="s">
        <v>89</v>
      </c>
      <c r="B16" s="24">
        <v>-1</v>
      </c>
      <c r="C16" s="24">
        <v>95</v>
      </c>
      <c r="D16" s="24">
        <v>-1</v>
      </c>
      <c r="E16" s="24">
        <v>185</v>
      </c>
      <c r="F16" s="24">
        <v>255</v>
      </c>
      <c r="G16" s="24">
        <v>305</v>
      </c>
      <c r="H16" s="24">
        <v>415</v>
      </c>
      <c r="I16" s="24">
        <v>480</v>
      </c>
      <c r="J16" s="24">
        <v>525</v>
      </c>
      <c r="M16" s="11">
        <v>10100</v>
      </c>
      <c r="N16" s="11" t="s">
        <v>89</v>
      </c>
    </row>
    <row r="17" spans="1:14" ht="14.5" x14ac:dyDescent="0.35">
      <c r="A17" s="25" t="s">
        <v>90</v>
      </c>
      <c r="B17" s="24">
        <v>95</v>
      </c>
      <c r="C17" s="24">
        <v>-1</v>
      </c>
      <c r="D17" s="24">
        <v>-1</v>
      </c>
      <c r="E17" s="24">
        <v>90</v>
      </c>
      <c r="F17" s="24">
        <v>160</v>
      </c>
      <c r="G17" s="24">
        <v>210</v>
      </c>
      <c r="H17" s="24">
        <v>325</v>
      </c>
      <c r="I17" s="24">
        <v>390</v>
      </c>
      <c r="J17" s="24">
        <v>430</v>
      </c>
      <c r="M17" s="11">
        <v>10102</v>
      </c>
      <c r="N17" s="11" t="s">
        <v>90</v>
      </c>
    </row>
    <row r="18" spans="1:14" ht="14.5" x14ac:dyDescent="0.35">
      <c r="A18" s="25" t="s">
        <v>91</v>
      </c>
      <c r="B18" s="24">
        <v>-1</v>
      </c>
      <c r="C18" s="24">
        <v>-1</v>
      </c>
      <c r="D18" s="24">
        <v>-1</v>
      </c>
      <c r="E18" s="24">
        <v>60</v>
      </c>
      <c r="F18" s="24">
        <v>130</v>
      </c>
      <c r="G18" s="24">
        <v>180</v>
      </c>
      <c r="H18" s="24">
        <v>295</v>
      </c>
      <c r="I18" s="24">
        <v>355</v>
      </c>
      <c r="J18" s="24">
        <v>400</v>
      </c>
      <c r="M18" s="11">
        <v>10104</v>
      </c>
      <c r="N18" s="11" t="s">
        <v>91</v>
      </c>
    </row>
    <row r="19" spans="1:14" ht="14.5" x14ac:dyDescent="0.35">
      <c r="A19" s="25" t="s">
        <v>92</v>
      </c>
      <c r="B19" s="24">
        <v>185</v>
      </c>
      <c r="C19" s="24">
        <v>90</v>
      </c>
      <c r="D19" s="24">
        <v>60</v>
      </c>
      <c r="E19" s="24">
        <v>-1</v>
      </c>
      <c r="F19" s="24">
        <v>70</v>
      </c>
      <c r="G19" s="24">
        <v>120</v>
      </c>
      <c r="H19" s="24">
        <v>235</v>
      </c>
      <c r="I19" s="24">
        <v>300</v>
      </c>
      <c r="J19" s="24">
        <v>340</v>
      </c>
      <c r="M19" s="11">
        <v>10106</v>
      </c>
      <c r="N19" s="11" t="s">
        <v>92</v>
      </c>
    </row>
    <row r="20" spans="1:14" ht="14.5" x14ac:dyDescent="0.35">
      <c r="A20" s="25" t="s">
        <v>93</v>
      </c>
      <c r="B20" s="24">
        <v>255</v>
      </c>
      <c r="C20" s="24">
        <v>160</v>
      </c>
      <c r="D20" s="24">
        <v>130</v>
      </c>
      <c r="E20" s="24">
        <v>70</v>
      </c>
      <c r="F20" s="24">
        <v>-1</v>
      </c>
      <c r="G20" s="24">
        <v>50</v>
      </c>
      <c r="H20" s="24">
        <v>165</v>
      </c>
      <c r="I20" s="24">
        <v>230</v>
      </c>
      <c r="J20" s="24">
        <v>270</v>
      </c>
      <c r="M20" s="11">
        <v>10108</v>
      </c>
      <c r="N20" s="11" t="s">
        <v>93</v>
      </c>
    </row>
    <row r="21" spans="1:14" ht="14.5" x14ac:dyDescent="0.35">
      <c r="A21" s="25" t="s">
        <v>94</v>
      </c>
      <c r="B21" s="24">
        <v>305</v>
      </c>
      <c r="C21" s="24">
        <v>210</v>
      </c>
      <c r="D21" s="24">
        <v>180</v>
      </c>
      <c r="E21" s="24">
        <v>120</v>
      </c>
      <c r="F21" s="24">
        <v>50</v>
      </c>
      <c r="G21" s="24">
        <v>-1</v>
      </c>
      <c r="H21" s="24">
        <v>115</v>
      </c>
      <c r="I21" s="24">
        <v>180</v>
      </c>
      <c r="J21" s="24">
        <v>220</v>
      </c>
      <c r="M21" s="11">
        <v>10110</v>
      </c>
      <c r="N21" s="11" t="s">
        <v>94</v>
      </c>
    </row>
    <row r="22" spans="1:14" ht="14.5" x14ac:dyDescent="0.35">
      <c r="A22" s="25" t="s">
        <v>95</v>
      </c>
      <c r="B22" s="24">
        <v>415</v>
      </c>
      <c r="C22" s="24">
        <v>325</v>
      </c>
      <c r="D22" s="24">
        <v>295</v>
      </c>
      <c r="E22" s="24">
        <v>235</v>
      </c>
      <c r="F22" s="24">
        <v>165</v>
      </c>
      <c r="G22" s="24">
        <v>115</v>
      </c>
      <c r="H22" s="24">
        <v>-1</v>
      </c>
      <c r="I22" s="24">
        <v>65</v>
      </c>
      <c r="J22" s="24">
        <v>105</v>
      </c>
      <c r="M22" s="11">
        <v>10112</v>
      </c>
      <c r="N22" s="11" t="s">
        <v>95</v>
      </c>
    </row>
    <row r="23" spans="1:14" ht="14.5" x14ac:dyDescent="0.35">
      <c r="A23" s="25" t="s">
        <v>96</v>
      </c>
      <c r="B23" s="24">
        <v>480</v>
      </c>
      <c r="C23" s="24">
        <v>390</v>
      </c>
      <c r="D23" s="24">
        <v>355</v>
      </c>
      <c r="E23" s="24">
        <v>300</v>
      </c>
      <c r="F23" s="24">
        <v>230</v>
      </c>
      <c r="G23" s="24">
        <v>180</v>
      </c>
      <c r="H23" s="24">
        <v>65</v>
      </c>
      <c r="I23" s="24">
        <v>-1</v>
      </c>
      <c r="J23" s="24">
        <v>40</v>
      </c>
      <c r="M23" s="11">
        <v>10114</v>
      </c>
      <c r="N23" s="11" t="s">
        <v>96</v>
      </c>
    </row>
    <row r="24" spans="1:14" ht="14.5" x14ac:dyDescent="0.35">
      <c r="A24" s="25" t="s">
        <v>97</v>
      </c>
      <c r="B24" s="24">
        <v>525</v>
      </c>
      <c r="C24" s="24">
        <v>430</v>
      </c>
      <c r="D24" s="24">
        <v>400</v>
      </c>
      <c r="E24" s="24">
        <v>340</v>
      </c>
      <c r="F24" s="24">
        <v>270</v>
      </c>
      <c r="G24" s="24">
        <v>220</v>
      </c>
      <c r="H24" s="24">
        <v>105</v>
      </c>
      <c r="I24" s="24">
        <v>40</v>
      </c>
      <c r="J24" s="24">
        <v>-1</v>
      </c>
      <c r="M24" s="12">
        <v>10116</v>
      </c>
      <c r="N24" s="12" t="s">
        <v>97</v>
      </c>
    </row>
    <row r="27" spans="1:14" ht="23.5" x14ac:dyDescent="0.55000000000000004">
      <c r="A27" s="17" t="s">
        <v>169</v>
      </c>
    </row>
    <row r="28" spans="1:14" ht="14.5" x14ac:dyDescent="0.35">
      <c r="A28" s="13" t="s">
        <v>100</v>
      </c>
      <c r="B28" s="16" t="s">
        <v>101</v>
      </c>
      <c r="C28" s="15" t="s">
        <v>102</v>
      </c>
      <c r="F28" s="49"/>
      <c r="L28" s="2" t="str">
        <f>VLOOKUP(A29,$M$16:$N$24,2,0)</f>
        <v>A</v>
      </c>
      <c r="M28" s="2" t="str">
        <f>VLOOKUP(B29,$M$16:$N$24,2,0)</f>
        <v>B</v>
      </c>
    </row>
    <row r="29" spans="1:14" ht="14.5" x14ac:dyDescent="0.35">
      <c r="A29" s="7">
        <v>10100</v>
      </c>
      <c r="B29" s="11">
        <v>10102</v>
      </c>
      <c r="C29" s="46">
        <f>HLOOKUP(VLOOKUP(A29,$M$15:$N$24,2,0),$B$15:$J$24,MATCH(VLOOKUP(B29,$M$15:$N$24,2,0),$A$15:$A$24,0),0)</f>
        <v>95</v>
      </c>
      <c r="L29" s="2" t="str">
        <f>VLOOKUP(A30,$M$16:$N$24,2,0)</f>
        <v>A</v>
      </c>
      <c r="M29" s="2" t="str">
        <f>VLOOKUP(B30,$M$16:$N$24,2,0)</f>
        <v>C</v>
      </c>
    </row>
    <row r="30" spans="1:14" ht="14.5" x14ac:dyDescent="0.35">
      <c r="A30" s="7">
        <v>10100</v>
      </c>
      <c r="B30" s="11">
        <v>10104</v>
      </c>
      <c r="C30" s="46">
        <f t="shared" ref="C30:C41" si="0">HLOOKUP(VLOOKUP(A30,$M$15:$N$24,2,0),$B$15:$J$24,MATCH(VLOOKUP(B30,$M$15:$N$24,2,0),$A$15:$A$24,0),0)</f>
        <v>-1</v>
      </c>
      <c r="L30" s="2" t="str">
        <f>VLOOKUP(A31,$M$16:$N$24,2,0)</f>
        <v>E</v>
      </c>
      <c r="M30" s="2" t="str">
        <f>VLOOKUP(B31,$M$16:$N$24,2,0)</f>
        <v>B</v>
      </c>
    </row>
    <row r="31" spans="1:14" ht="14.5" x14ac:dyDescent="0.35">
      <c r="A31" s="7">
        <v>10108</v>
      </c>
      <c r="B31" s="11">
        <v>10102</v>
      </c>
      <c r="C31" s="46">
        <f t="shared" si="0"/>
        <v>160</v>
      </c>
      <c r="L31" s="2" t="str">
        <f>VLOOKUP(A32,$M$16:$N$24,2,0)</f>
        <v>A</v>
      </c>
      <c r="M31" s="2" t="str">
        <f>VLOOKUP(B32,$M$16:$N$24,2,0)</f>
        <v>D</v>
      </c>
    </row>
    <row r="32" spans="1:14" ht="14.5" x14ac:dyDescent="0.35">
      <c r="A32" s="7">
        <v>10100</v>
      </c>
      <c r="B32" s="11">
        <v>10106</v>
      </c>
      <c r="C32" s="46">
        <f t="shared" si="0"/>
        <v>185</v>
      </c>
      <c r="L32" s="2" t="str">
        <f>VLOOKUP(A33,$M$16:$N$24,2,0)</f>
        <v>E</v>
      </c>
      <c r="M32" s="2" t="str">
        <f>VLOOKUP(B33,$M$16:$N$24,2,0)</f>
        <v>F</v>
      </c>
    </row>
    <row r="33" spans="1:13" ht="14.5" x14ac:dyDescent="0.35">
      <c r="A33" s="7">
        <v>10108</v>
      </c>
      <c r="B33" s="11">
        <v>10110</v>
      </c>
      <c r="C33" s="46">
        <f t="shared" si="0"/>
        <v>50</v>
      </c>
      <c r="L33" s="2" t="str">
        <f>VLOOKUP(A34,$M$16:$N$24,2,0)</f>
        <v>B</v>
      </c>
      <c r="M33" s="2" t="str">
        <f>VLOOKUP(B34,$M$16:$N$24,2,0)</f>
        <v>C</v>
      </c>
    </row>
    <row r="34" spans="1:13" ht="14.5" x14ac:dyDescent="0.35">
      <c r="A34" s="7">
        <v>10102</v>
      </c>
      <c r="B34" s="11">
        <v>10104</v>
      </c>
      <c r="C34" s="46">
        <f t="shared" si="0"/>
        <v>-1</v>
      </c>
      <c r="L34" s="2" t="str">
        <f>VLOOKUP(A35,$M$16:$N$24,2,0)</f>
        <v>D</v>
      </c>
      <c r="M34" s="2" t="str">
        <f>VLOOKUP(B35,$M$16:$N$24,2,0)</f>
        <v>E</v>
      </c>
    </row>
    <row r="35" spans="1:13" ht="14.5" x14ac:dyDescent="0.35">
      <c r="A35" s="7">
        <v>10106</v>
      </c>
      <c r="B35" s="11">
        <v>10108</v>
      </c>
      <c r="C35" s="46">
        <f t="shared" si="0"/>
        <v>70</v>
      </c>
      <c r="L35" s="2" t="str">
        <f>VLOOKUP(A36,$M$16:$N$24,2,0)</f>
        <v>B</v>
      </c>
      <c r="M35" s="2" t="str">
        <f>VLOOKUP(B36,$M$16:$N$24,2,0)</f>
        <v>D</v>
      </c>
    </row>
    <row r="36" spans="1:13" ht="14.5" x14ac:dyDescent="0.35">
      <c r="A36" s="7">
        <v>10102</v>
      </c>
      <c r="B36" s="11">
        <v>10106</v>
      </c>
      <c r="C36" s="46">
        <f t="shared" si="0"/>
        <v>90</v>
      </c>
      <c r="L36" s="2" t="str">
        <f>VLOOKUP(A37,$M$16:$N$24,2,0)</f>
        <v>F</v>
      </c>
      <c r="M36" s="2" t="str">
        <f>VLOOKUP(B37,$M$16:$N$24,2,0)</f>
        <v>H</v>
      </c>
    </row>
    <row r="37" spans="1:13" ht="14.5" x14ac:dyDescent="0.35">
      <c r="A37" s="7">
        <v>10110</v>
      </c>
      <c r="B37" s="11">
        <v>10114</v>
      </c>
      <c r="C37" s="46">
        <f t="shared" si="0"/>
        <v>180</v>
      </c>
      <c r="L37" s="2" t="str">
        <f>VLOOKUP(A38,$M$16:$N$24,2,0)</f>
        <v>C</v>
      </c>
      <c r="M37" s="2" t="str">
        <f>VLOOKUP(B38,$M$16:$N$24,2,0)</f>
        <v>D</v>
      </c>
    </row>
    <row r="38" spans="1:13" ht="14.5" x14ac:dyDescent="0.35">
      <c r="A38" s="7">
        <v>10104</v>
      </c>
      <c r="B38" s="11">
        <v>10106</v>
      </c>
      <c r="C38" s="46">
        <f t="shared" si="0"/>
        <v>60</v>
      </c>
      <c r="L38" s="2" t="str">
        <f>VLOOKUP(A39,$M$16:$N$24,2,0)</f>
        <v>F</v>
      </c>
      <c r="M38" s="2" t="str">
        <f>VLOOKUP(B39,$M$16:$N$24,2,0)</f>
        <v>G</v>
      </c>
    </row>
    <row r="39" spans="1:13" ht="14.5" x14ac:dyDescent="0.35">
      <c r="A39" s="7">
        <v>10110</v>
      </c>
      <c r="B39" s="11">
        <v>10112</v>
      </c>
      <c r="C39" s="46">
        <f t="shared" si="0"/>
        <v>115</v>
      </c>
      <c r="L39" s="2" t="str">
        <f>VLOOKUP(A40,$M$16:$N$24,2,0)</f>
        <v>A</v>
      </c>
      <c r="M39" s="2" t="str">
        <f>VLOOKUP(B40,$M$16:$N$24,2,0)</f>
        <v>H</v>
      </c>
    </row>
    <row r="40" spans="1:13" ht="14.5" x14ac:dyDescent="0.35">
      <c r="A40" s="7">
        <v>10100</v>
      </c>
      <c r="B40" s="11">
        <v>10114</v>
      </c>
      <c r="C40" s="46">
        <f t="shared" si="0"/>
        <v>480</v>
      </c>
      <c r="L40" s="2" t="str">
        <f>VLOOKUP(A41,$M$16:$N$24,2,0)</f>
        <v>G</v>
      </c>
      <c r="M40" s="2" t="str">
        <f>VLOOKUP(B41,$M$16:$N$24,2,0)</f>
        <v>I</v>
      </c>
    </row>
    <row r="41" spans="1:13" ht="14.5" x14ac:dyDescent="0.35">
      <c r="A41" s="8">
        <v>10112</v>
      </c>
      <c r="B41" s="12">
        <v>10116</v>
      </c>
      <c r="C41" s="46">
        <f t="shared" si="0"/>
        <v>105</v>
      </c>
    </row>
  </sheetData>
  <mergeCells count="5">
    <mergeCell ref="B8:AC8"/>
    <mergeCell ref="B6:O6"/>
    <mergeCell ref="B5:AC5"/>
    <mergeCell ref="B7:AB7"/>
    <mergeCell ref="C4:X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Shivangi Vn Singh</cp:lastModifiedBy>
  <dcterms:created xsi:type="dcterms:W3CDTF">2015-02-10T17:33:11Z</dcterms:created>
  <dcterms:modified xsi:type="dcterms:W3CDTF">2023-12-10T12:58:02Z</dcterms:modified>
</cp:coreProperties>
</file>