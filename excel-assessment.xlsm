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c122eaf4a68a6e/Desktop/git clone/"/>
    </mc:Choice>
  </mc:AlternateContent>
  <xr:revisionPtr revIDLastSave="163" documentId="13_ncr:1_{48EB4397-F178-E54E-B28D-22A41FCA72D2}" xr6:coauthVersionLast="47" xr6:coauthVersionMax="47" xr10:uidLastSave="{902CEC85-2F74-4086-A488-50C8ECCF03E8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Task_1" sheetId="15" r:id="rId2"/>
    <sheet name="Dataset" sheetId="1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2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B16" i="16" a="1"/>
  <c r="B16" i="16" s="1"/>
  <c r="B20" i="16" a="1"/>
  <c r="B20" i="16"/>
  <c r="B21" i="16" a="1"/>
  <c r="B21" i="16" s="1"/>
  <c r="B22" i="16" a="1"/>
  <c r="B22" i="16" s="1"/>
  <c r="B23" i="16" a="1"/>
  <c r="B23" i="16" s="1"/>
  <c r="B24" i="16" a="1"/>
  <c r="B24" i="16"/>
  <c r="B25" i="16" a="1"/>
  <c r="B25" i="16" s="1"/>
  <c r="B26" i="16" a="1"/>
  <c r="B26" i="16"/>
  <c r="B27" i="16" a="1"/>
  <c r="B27" i="16" s="1"/>
  <c r="B28" i="16" a="1"/>
  <c r="B28" i="16" s="1"/>
  <c r="B29" i="16" a="1"/>
  <c r="B29" i="16" s="1"/>
  <c r="B30" i="16" a="1"/>
  <c r="B30" i="16"/>
  <c r="B31" i="16" a="1"/>
  <c r="B31" i="16" s="1"/>
  <c r="B32" i="16" a="1"/>
  <c r="B32" i="16"/>
  <c r="B33" i="16" a="1"/>
  <c r="B33" i="16" s="1"/>
  <c r="B34" i="16" a="1"/>
  <c r="B34" i="16" s="1"/>
  <c r="B35" i="16" a="1"/>
  <c r="B35" i="16" s="1"/>
  <c r="B36" i="16" a="1"/>
  <c r="B36" i="16"/>
  <c r="B37" i="16" a="1"/>
  <c r="B37" i="16" s="1"/>
  <c r="B38" i="16" a="1"/>
  <c r="B38" i="16"/>
  <c r="B39" i="16" a="1"/>
  <c r="B39" i="16" s="1"/>
  <c r="B40" i="16" a="1"/>
  <c r="B40" i="16" s="1"/>
  <c r="B41" i="16" a="1"/>
  <c r="B41" i="16" s="1"/>
  <c r="B42" i="16" a="1"/>
  <c r="B42" i="16"/>
  <c r="B43" i="16" a="1"/>
  <c r="B43" i="16" s="1"/>
  <c r="B44" i="16" a="1"/>
  <c r="B44" i="16"/>
  <c r="B45" i="16" a="1"/>
  <c r="B45" i="16" s="1"/>
  <c r="B46" i="16" a="1"/>
  <c r="B46" i="16" s="1"/>
  <c r="B47" i="16" a="1"/>
  <c r="B47" i="16" s="1"/>
  <c r="B48" i="16" a="1"/>
  <c r="B48" i="16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/>
  <c r="B17" i="16" a="1"/>
  <c r="B17" i="16" s="1"/>
  <c r="B18" i="16" a="1"/>
  <c r="B18" i="16" s="1"/>
  <c r="B19" i="16" a="1"/>
  <c r="B19" i="16" s="1"/>
  <c r="F30" i="18"/>
  <c r="F6" i="18"/>
  <c r="F28" i="18" s="1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2" i="1"/>
  <c r="F29" i="18" l="1"/>
  <c r="C13" i="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<sst xmlns="http://schemas.openxmlformats.org/spreadsheetml/2006/main" count="327" uniqueCount="182">
  <si>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</si>
  <si>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</si>
  <si>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</si>
  <si>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</si>
  <si>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</si>
  <si>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</si>
  <si>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</si>
  <si>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</si>
  <si>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</si>
  <si>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</si>
  <si>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</si>
  <si>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</si>
  <si>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</si>
  <si>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</si>
  <si>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</si>
  <si>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</si>
  <si>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</si>
  <si>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</si>
  <si>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</si>
  <si>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</si>
  <si>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</si>
  <si>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</si>
  <si>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</si>
  <si>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</si>
  <si>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</si>
  <si>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</si>
  <si>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</si>
  <si>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</si>
  <si>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</si>
  <si>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</si>
  <si>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</si>
  <si>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</si>
  <si>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</si>
  <si>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</si>
  <si>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</si>
  <si>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</si>
  <si>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</si>
  <si>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</si>
  <si>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</si>
  <si>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</si>
  <si>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</si>
  <si>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</si>
  <si>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</si>
  <si>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</si>
  <si>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</si>
  <si>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</si>
  <si>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</si>
  <si>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</si>
  <si>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</si>
  <si>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</si>
  <si>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</si>
  <si>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</si>
  <si>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</si>
  <si>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</si>
  <si>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</si>
  <si>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</si>
  <si>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</si>
  <si>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</si>
  <si>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</si>
  <si>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</si>
  <si>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</si>
  <si>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</si>
  <si>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</si>
  <si>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</si>
  <si>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</si>
  <si>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</si>
  <si>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</si>
  <si>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</si>
  <si>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</si>
  <si>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</si>
  <si>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</si>
  <si>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</si>
  <si>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</si>
  <si>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</si>
  <si>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</si>
  <si>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</si>
  <si>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</si>
  <si>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</si>
  <si>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</si>
  <si>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</si>
  <si>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</si>
  <si>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</si>
  <si>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</si>
  <si>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</si>
  <si>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</si>
  <si>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</si>
  <si>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</si>
  <si>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</si>
  <si>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</si>
  <si>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</si>
  <si>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</si>
  <si>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</si>
  <si>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</si>
  <si>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</si>
  <si>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</si>
  <si>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</si>
  <si>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</si>
  <si>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</si>
  <si>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</si>
  <si>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</si>
  <si>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</si>
  <si>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</si>
  <si>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</si>
  <si>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</si>
  <si>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</si>
  <si>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</si>
  <si>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</si>
  <si>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</si>
  <si>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</si>
  <si>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</si>
  <si>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</si>
  <si>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</si>
  <si>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</si>
  <si>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</si>
  <si>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</si>
  <si>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</si>
  <si>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</si>
  <si>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</si>
  <si>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</si>
  <si>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</si>
  <si>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</si>
  <si>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</si>
  <si>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</si>
  <si>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</si>
  <si>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</si>
  <si>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</si>
  <si>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</si>
  <si>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</si>
  <si>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</si>
  <si>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</si>
  <si>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</si>
  <si>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</si>
  <si>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</si>
  <si>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</si>
  <si>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</si>
  <si>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</si>
  <si>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</si>
  <si>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</si>
  <si>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</si>
  <si>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</si>
  <si>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</si>
  <si>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</si>
  <si>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</si>
  <si>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</si>
  <si>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</si>
  <si>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</si>
  <si>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</si>
  <si>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</si>
  <si>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</si>
  <si>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</si>
  <si>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</si>
  <si>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</si>
  <si>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</si>
  <si>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</si>
  <si>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</si>
  <si>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</si>
  <si>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</si>
  <si>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</si>
  <si>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</si>
  <si>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</si>
  <si>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</si>
  <si>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</si>
  <si>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</si>
  <si>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</si>
  <si>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</si>
  <si>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</si>
  <si>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</si>
  <si>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</si>
  <si>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</si>
  <si>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</si>
  <si>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</si>
  <si>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</si>
  <si>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</si>
  <si>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</si>
  <si>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</si>
  <si>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</si>
  <si>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</si>
  <si>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done with the conditional formating </t>
  </si>
  <si>
    <t>using freezing top row in by going View section</t>
  </si>
  <si>
    <t>sum of all the value greater than 20 in column h</t>
  </si>
  <si>
    <t>//=SUMIF(H2:H40,"&gt;20",H2)//</t>
  </si>
  <si>
    <t xml:space="preserve">I used delimiter splitext formula to split the text and give the all the delimter that has in values column or can have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</si>
</sst>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8" sqref="A8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3">
      <c r="A2" s="2"/>
      <c r="B2" s="5" t="s">
        <v>160</v>
      </c>
      <c r="C2" s="2"/>
    </row>
    <row r="3" spans="1:6" x14ac:dyDescent="0.3">
      <c r="A3" s="6">
        <v>1</v>
      </c>
      <c r="B3" s="2" t="s">
        <v>107</v>
      </c>
      <c r="C3" s="2" t="s">
        <v>45</v>
      </c>
      <c r="E3" s="1">
        <v>5</v>
      </c>
      <c r="F3" s="1" t="s">
        <v>177</v>
      </c>
    </row>
    <row r="4" spans="1:6" x14ac:dyDescent="0.3">
      <c r="A4" s="6">
        <v>2</v>
      </c>
      <c r="B4" s="2" t="s">
        <v>46</v>
      </c>
      <c r="C4" s="2"/>
      <c r="E4" s="1">
        <v>5</v>
      </c>
      <c r="F4" s="1" t="s">
        <v>178</v>
      </c>
    </row>
    <row r="5" spans="1:6" x14ac:dyDescent="0.3">
      <c r="A5" s="6">
        <v>3</v>
      </c>
      <c r="B5" s="2" t="s">
        <v>104</v>
      </c>
      <c r="C5" s="31" t="s">
        <v>180</v>
      </c>
      <c r="E5" s="1">
        <v>10</v>
      </c>
    </row>
    <row r="6" spans="1:6" x14ac:dyDescent="0.3">
      <c r="A6" s="6">
        <v>4</v>
      </c>
      <c r="B6" s="2" t="s">
        <v>106</v>
      </c>
      <c r="C6" s="2"/>
      <c r="E6" s="1">
        <v>5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abSelected="1" topLeftCell="V1" zoomScaleNormal="100" workbookViewId="0">
      <pane ySplit="1" topLeftCell="A2" activePane="bottomLeft" state="frozen"/>
      <selection pane="bottomLeft" activeCell="M2" sqref="M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2" width="19" style="1" bestFit="1" customWidth="1"/>
    <col min="23" max="23" width="11.44140625" style="1" customWidth="1"/>
    <col min="24" max="24" width="13.6640625" style="44" customWidth="1"/>
    <col min="25" max="25" width="14.77734375" style="1" customWidth="1"/>
    <col min="26" max="16384" width="9" style="1"/>
  </cols>
  <sheetData>
    <row r="1" spans="1:25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3" t="s">
        <v>105</v>
      </c>
      <c r="Y1" s="3" t="s">
        <v>179</v>
      </c>
    </row>
    <row r="2" spans="1:25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  <c r="Y2" s="1">
        <f ca="1">SUMIF(H2:H40,"&gt;20",H2)</f>
        <v>1473.0000000000002</v>
      </c>
    </row>
    <row r="3" spans="1:25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2" operator="lessThan">
      <formula>0</formula>
    </cfRule>
  </conditionalFormatting>
  <conditionalFormatting sqref="F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6" sqref="E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164</v>
      </c>
    </row>
    <row r="2" spans="1:7" s="38" customFormat="1" ht="21" x14ac:dyDescent="0.4">
      <c r="B2" s="38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VLOOKUP(A6,Dataset!$A$1:$Y$40,7,0)</f>
        <v>2.7</v>
      </c>
      <c r="C6" s="10">
        <f>VLOOKUP(A6,Dataset!$A$1:$Y$40,14,0)</f>
        <v>7.6</v>
      </c>
      <c r="D6" s="10">
        <f>VLOOKUP(A6,Dataset!$A$1:$Y$40,18,0)</f>
        <v>4.2</v>
      </c>
      <c r="E6" s="10">
        <f>VLOOKUP(A6,Dataset!$A$1:$Y$40,20,0)</f>
        <v>8.9</v>
      </c>
      <c r="F6" s="10">
        <f>VLOOKUP(A6,Dataset!$A$1:$Y$40,22,0)</f>
        <v>4.2</v>
      </c>
    </row>
    <row r="7" spans="1:7" ht="14.4" x14ac:dyDescent="0.3">
      <c r="A7" s="7" t="s">
        <v>4</v>
      </c>
      <c r="B7" s="10">
        <f>VLOOKUP(A7,Dataset!$A$1:$Y$40,7,0)</f>
        <v>2.7</v>
      </c>
      <c r="C7" s="10">
        <f>VLOOKUP(A7,Dataset!$A$1:$Y$40,14,0)</f>
        <v>7.6</v>
      </c>
      <c r="D7" s="10">
        <f>VLOOKUP(A7,Dataset!$A$1:$Y$40,18,0)</f>
        <v>4.2</v>
      </c>
      <c r="E7" s="10">
        <f>VLOOKUP(A7,Dataset!$A$1:$Y$40,20,0)</f>
        <v>8.9</v>
      </c>
      <c r="F7" s="10">
        <f>VLOOKUP(A7,Dataset!$A$1:$Y$40,22,0)</f>
        <v>4.2</v>
      </c>
    </row>
    <row r="8" spans="1:7" ht="14.4" x14ac:dyDescent="0.3">
      <c r="A8" s="7" t="s">
        <v>7</v>
      </c>
      <c r="B8" s="10">
        <f>VLOOKUP(A8,Dataset!$A$1:$Y$40,7,0)</f>
        <v>3.6</v>
      </c>
      <c r="C8" s="10">
        <f>VLOOKUP(A8,Dataset!$A$1:$Y$40,14,0)</f>
        <v>11.1</v>
      </c>
      <c r="D8" s="10">
        <f>VLOOKUP(A8,Dataset!$A$1:$Y$40,18,0)</f>
        <v>5.8</v>
      </c>
      <c r="E8" s="10">
        <f>VLOOKUP(A8,Dataset!$A$1:$Y$40,20,0)</f>
        <v>12.2</v>
      </c>
      <c r="F8" s="10">
        <f>VLOOKUP(A8,Dataset!$A$1:$Y$40,22,0)</f>
        <v>5.8</v>
      </c>
    </row>
    <row r="9" spans="1:7" ht="14.4" x14ac:dyDescent="0.3">
      <c r="A9" s="7" t="s">
        <v>8</v>
      </c>
      <c r="B9" s="10">
        <f>VLOOKUP(A9,Dataset!$A$1:$Y$40,7,0)</f>
        <v>4.9000000000000004</v>
      </c>
      <c r="C9" s="10">
        <f>VLOOKUP(A9,Dataset!$A$1:$Y$40,14,0)</f>
        <v>13.3</v>
      </c>
      <c r="D9" s="10">
        <f>VLOOKUP(A9,Dataset!$A$1:$Y$40,18,0)</f>
        <v>8.1</v>
      </c>
      <c r="E9" s="10">
        <f>VLOOKUP(A9,Dataset!$A$1:$Y$40,20,0)</f>
        <v>17</v>
      </c>
      <c r="F9" s="10">
        <f>VLOOKUP(A9,Dataset!$A$1:$Y$40,22,0)</f>
        <v>8.1</v>
      </c>
    </row>
    <row r="10" spans="1:7" ht="14.4" x14ac:dyDescent="0.3">
      <c r="A10" s="7" t="s">
        <v>11</v>
      </c>
      <c r="B10" s="10">
        <f>VLOOKUP(A10,Dataset!$A$1:$Y$40,7,0)</f>
        <v>9.4</v>
      </c>
      <c r="C10" s="10">
        <f>VLOOKUP(A10,Dataset!$A$1:$Y$40,14,0)</f>
        <v>28.3</v>
      </c>
      <c r="D10" s="10">
        <f>VLOOKUP(A10,Dataset!$A$1:$Y$40,18,0)</f>
        <v>16.100000000000001</v>
      </c>
      <c r="E10" s="10">
        <f>VLOOKUP(A10,Dataset!$A$1:$Y$40,20,0)</f>
        <v>32.799999999999997</v>
      </c>
      <c r="F10" s="10">
        <f>VLOOKUP(A10,Dataset!$A$1:$Y$40,22,0)</f>
        <v>16.100000000000001</v>
      </c>
    </row>
    <row r="11" spans="1:7" ht="14.4" x14ac:dyDescent="0.3">
      <c r="A11" s="7" t="s">
        <v>12</v>
      </c>
      <c r="B11" s="10">
        <f>VLOOKUP(A11,Dataset!$A$1:$Y$40,7,0)</f>
        <v>11.6</v>
      </c>
      <c r="C11" s="10">
        <f>VLOOKUP(A11,Dataset!$A$1:$Y$40,14,0)</f>
        <v>35.200000000000003</v>
      </c>
      <c r="D11" s="10">
        <f>VLOOKUP(A11,Dataset!$A$1:$Y$40,18,0)</f>
        <v>21.3</v>
      </c>
      <c r="E11" s="10">
        <f>VLOOKUP(A11,Dataset!$A$1:$Y$40,20,0)</f>
        <v>43</v>
      </c>
      <c r="F11" s="10">
        <f>VLOOKUP(A11,Dataset!$A$1:$Y$40,22,0)</f>
        <v>21.3</v>
      </c>
    </row>
    <row r="12" spans="1:7" ht="14.4" x14ac:dyDescent="0.3">
      <c r="A12" s="7" t="s">
        <v>14</v>
      </c>
      <c r="B12" s="10">
        <f>VLOOKUP(A12,Dataset!$A$1:$Y$40,7,0)</f>
        <v>18.399999999999999</v>
      </c>
      <c r="C12" s="10">
        <f>VLOOKUP(A12,Dataset!$A$1:$Y$40,14,0)</f>
        <v>55.6</v>
      </c>
      <c r="D12" s="10">
        <f>VLOOKUP(A12,Dataset!$A$1:$Y$40,18,0)</f>
        <v>33.799999999999997</v>
      </c>
      <c r="E12" s="10">
        <f>VLOOKUP(A12,Dataset!$A$1:$Y$40,20,0)</f>
        <v>67.900000000000006</v>
      </c>
      <c r="F12" s="10">
        <f>VLOOKUP(A12,Dataset!$A$1:$Y$40,22,0)</f>
        <v>33.799999999999997</v>
      </c>
    </row>
    <row r="13" spans="1:7" ht="14.4" x14ac:dyDescent="0.3">
      <c r="A13" s="7" t="s">
        <v>15</v>
      </c>
      <c r="B13" s="10">
        <f>VLOOKUP(A13,Dataset!$A$1:$Y$40,7,0)</f>
        <v>0</v>
      </c>
      <c r="C13" s="10">
        <f>VLOOKUP(A13,Dataset!$A$1:$Y$40,14,0)</f>
        <v>0</v>
      </c>
      <c r="D13" s="10">
        <f>VLOOKUP(A13,Dataset!$A$1:$Y$40,18,0)</f>
        <v>0</v>
      </c>
      <c r="E13" s="10">
        <f>VLOOKUP(A13,Dataset!$A$1:$Y$40,20,0)</f>
        <v>0</v>
      </c>
      <c r="F13" s="10">
        <f>VLOOKUP(A13,Dataset!$A$1:$Y$40,22,0)</f>
        <v>0</v>
      </c>
    </row>
    <row r="14" spans="1:7" ht="14.4" x14ac:dyDescent="0.3">
      <c r="A14" s="7" t="s">
        <v>16</v>
      </c>
      <c r="B14" s="10">
        <f>VLOOKUP(A14,Dataset!$A$1:$Y$40,7,0)</f>
        <v>21.9</v>
      </c>
      <c r="C14" s="10">
        <f>VLOOKUP(A14,Dataset!$A$1:$Y$40,14,0)</f>
        <v>61.5</v>
      </c>
      <c r="D14" s="10">
        <f>VLOOKUP(A14,Dataset!$A$1:$Y$40,18,0)</f>
        <v>40.1</v>
      </c>
      <c r="E14" s="10">
        <f>VLOOKUP(A14,Dataset!$A$1:$Y$40,20,0)</f>
        <v>76.599999999999994</v>
      </c>
      <c r="F14" s="10">
        <f>VLOOKUP(A14,Dataset!$A$1:$Y$40,22,0)</f>
        <v>40.1</v>
      </c>
    </row>
    <row r="15" spans="1:7" ht="14.4" x14ac:dyDescent="0.3">
      <c r="A15" s="7" t="s">
        <v>18</v>
      </c>
      <c r="B15" s="10">
        <f>VLOOKUP(A15,Dataset!$A$1:$Y$40,7,0)</f>
        <v>26.8</v>
      </c>
      <c r="C15" s="10">
        <f>VLOOKUP(A15,Dataset!$A$1:$Y$40,14,0)</f>
        <v>79.599999999999994</v>
      </c>
      <c r="D15" s="10">
        <f>VLOOKUP(A15,Dataset!$A$1:$Y$40,18,0)</f>
        <v>47.9</v>
      </c>
      <c r="E15" s="10">
        <f>VLOOKUP(A15,Dataset!$A$1:$Y$40,20,0)</f>
        <v>96.8</v>
      </c>
      <c r="F15" s="10">
        <f>VLOOKUP(A15,Dataset!$A$1:$Y$40,22,0)</f>
        <v>47.9</v>
      </c>
    </row>
    <row r="16" spans="1:7" ht="14.4" x14ac:dyDescent="0.3">
      <c r="A16" s="7" t="s">
        <v>20</v>
      </c>
      <c r="B16" s="10">
        <f>VLOOKUP(A16,Dataset!$A$1:$Y$40,7,0)</f>
        <v>28.5</v>
      </c>
      <c r="C16" s="10">
        <f>VLOOKUP(A16,Dataset!$A$1:$Y$40,14,0)</f>
        <v>85.4</v>
      </c>
      <c r="D16" s="10">
        <f>VLOOKUP(A16,Dataset!$A$1:$Y$40,18,0)</f>
        <v>52.3</v>
      </c>
      <c r="E16" s="10">
        <f>VLOOKUP(A16,Dataset!$A$1:$Y$40,20,0)</f>
        <v>106.1</v>
      </c>
      <c r="F16" s="10">
        <f>VLOOKUP(A16,Dataset!$A$1:$Y$40,22,0)</f>
        <v>52.3</v>
      </c>
    </row>
    <row r="17" spans="1:6" ht="14.4" x14ac:dyDescent="0.3">
      <c r="A17" s="7" t="s">
        <v>22</v>
      </c>
      <c r="B17" s="10">
        <f>VLOOKUP(A17,Dataset!$A$1:$Y$40,7,0)</f>
        <v>30.7</v>
      </c>
      <c r="C17" s="10">
        <f>VLOOKUP(A17,Dataset!$A$1:$Y$40,14,0)</f>
        <v>92.1</v>
      </c>
      <c r="D17" s="10">
        <f>VLOOKUP(A17,Dataset!$A$1:$Y$40,18,0)</f>
        <v>57</v>
      </c>
      <c r="E17" s="10">
        <f>VLOOKUP(A17,Dataset!$A$1:$Y$40,20,0)</f>
        <v>115.1</v>
      </c>
      <c r="F17" s="10">
        <f>VLOOKUP(A17,Dataset!$A$1:$Y$40,22,0)</f>
        <v>57</v>
      </c>
    </row>
    <row r="18" spans="1:6" ht="14.4" x14ac:dyDescent="0.3">
      <c r="A18" s="7" t="s">
        <v>23</v>
      </c>
      <c r="B18" s="10">
        <f>VLOOKUP(A18,Dataset!$A$1:$Y$40,7,0)</f>
        <v>33.799999999999997</v>
      </c>
      <c r="C18" s="10">
        <f>VLOOKUP(A18,Dataset!$A$1:$Y$40,14,0)</f>
        <v>101.3</v>
      </c>
      <c r="D18" s="10">
        <f>VLOOKUP(A18,Dataset!$A$1:$Y$40,18,0)</f>
        <v>61.4</v>
      </c>
      <c r="E18" s="10">
        <f>VLOOKUP(A18,Dataset!$A$1:$Y$40,20,0)</f>
        <v>124.4</v>
      </c>
      <c r="F18" s="10">
        <f>VLOOKUP(A18,Dataset!$A$1:$Y$40,22,0)</f>
        <v>61.4</v>
      </c>
    </row>
    <row r="19" spans="1:6" ht="14.4" x14ac:dyDescent="0.3">
      <c r="A19" s="7" t="s">
        <v>24</v>
      </c>
      <c r="B19" s="10">
        <f>VLOOKUP(A19,Dataset!$A$1:$Y$40,7,0)</f>
        <v>34.700000000000003</v>
      </c>
      <c r="C19" s="10">
        <f>VLOOKUP(A19,Dataset!$A$1:$Y$40,14,0)</f>
        <v>106.1</v>
      </c>
      <c r="D19" s="10">
        <f>VLOOKUP(A19,Dataset!$A$1:$Y$40,18,0)</f>
        <v>63.6</v>
      </c>
      <c r="E19" s="10">
        <f>VLOOKUP(A19,Dataset!$A$1:$Y$40,20,0)</f>
        <v>128.6</v>
      </c>
      <c r="F19" s="10">
        <f>VLOOKUP(A19,Dataset!$A$1:$Y$40,22,0)</f>
        <v>63.6</v>
      </c>
    </row>
    <row r="20" spans="1:6" ht="14.4" x14ac:dyDescent="0.3">
      <c r="A20" s="7" t="s">
        <v>28</v>
      </c>
      <c r="B20" s="10">
        <f>VLOOKUP(A20,Dataset!$A$1:$Y$40,7,0)</f>
        <v>0</v>
      </c>
      <c r="C20" s="10">
        <f>VLOOKUP(A20,Dataset!$A$1:$Y$40,14,0)</f>
        <v>0</v>
      </c>
      <c r="D20" s="10">
        <f>VLOOKUP(A20,Dataset!$A$1:$Y$40,18,0)</f>
        <v>0</v>
      </c>
      <c r="E20" s="10">
        <f>VLOOKUP(A20,Dataset!$A$1:$Y$40,20,0)</f>
        <v>0</v>
      </c>
      <c r="F20" s="10">
        <f>VLOOKUP(A20,Dataset!$A$1:$Y$40,22,0)</f>
        <v>0</v>
      </c>
    </row>
    <row r="21" spans="1:6" ht="14.4" x14ac:dyDescent="0.3">
      <c r="A21" s="7" t="s">
        <v>57</v>
      </c>
      <c r="B21" s="10">
        <f>VLOOKUP(A21,Dataset!$A$1:$Y$40,7,0)</f>
        <v>41.3</v>
      </c>
      <c r="C21" s="10">
        <f>VLOOKUP(A21,Dataset!$A$1:$Y$40,14,0)</f>
        <v>124.4</v>
      </c>
      <c r="D21" s="10">
        <f>VLOOKUP(A21,Dataset!$A$1:$Y$40,18,0)</f>
        <v>75</v>
      </c>
      <c r="E21" s="10">
        <f>VLOOKUP(A21,Dataset!$A$1:$Y$40,20,0)</f>
        <v>151.5</v>
      </c>
      <c r="F21" s="10">
        <f>VLOOKUP(A21,Dataset!$A$1:$Y$40,22,0)</f>
        <v>75</v>
      </c>
    </row>
    <row r="22" spans="1:6" ht="14.4" x14ac:dyDescent="0.3">
      <c r="A22" s="7" t="s">
        <v>58</v>
      </c>
      <c r="B22" s="10">
        <f>VLOOKUP(A22,Dataset!$A$1:$Y$40,7,0)</f>
        <v>-1</v>
      </c>
      <c r="C22" s="10">
        <f>VLOOKUP(A22,Dataset!$A$1:$Y$40,14,0)</f>
        <v>-1</v>
      </c>
      <c r="D22" s="10">
        <f>VLOOKUP(A22,Dataset!$A$1:$Y$40,18,0)</f>
        <v>-1</v>
      </c>
      <c r="E22" s="10">
        <f>VLOOKUP(A22,Dataset!$A$1:$Y$40,20,0)</f>
        <v>-1</v>
      </c>
      <c r="F22" s="10">
        <f>VLOOKUP(A22,Dataset!$A$1:$Y$40,22,0)</f>
        <v>-1</v>
      </c>
    </row>
    <row r="23" spans="1:6" ht="14.4" x14ac:dyDescent="0.3">
      <c r="A23" s="7" t="s">
        <v>31</v>
      </c>
      <c r="B23" s="10">
        <f>VLOOKUP(A23,Dataset!$A$1:$Y$40,7,0)</f>
        <v>45</v>
      </c>
      <c r="C23" s="10">
        <f>VLOOKUP(A23,Dataset!$A$1:$Y$40,14,0)</f>
        <v>133.4</v>
      </c>
      <c r="D23" s="10">
        <f>VLOOKUP(A23,Dataset!$A$1:$Y$40,18,0)</f>
        <v>79.400000000000006</v>
      </c>
      <c r="E23" s="10">
        <f>VLOOKUP(A23,Dataset!$A$1:$Y$40,20,0)</f>
        <v>160.9</v>
      </c>
      <c r="F23" s="10">
        <f>VLOOKUP(A23,Dataset!$A$1:$Y$40,22,0)</f>
        <v>79.400000000000006</v>
      </c>
    </row>
    <row r="24" spans="1:6" ht="14.4" x14ac:dyDescent="0.3">
      <c r="A24" s="7" t="s">
        <v>32</v>
      </c>
      <c r="B24" s="10">
        <f>VLOOKUP(A24,Dataset!$A$1:$Y$40,7,0)</f>
        <v>-1</v>
      </c>
      <c r="C24" s="10">
        <f>VLOOKUP(A24,Dataset!$A$1:$Y$40,14,0)</f>
        <v>-1</v>
      </c>
      <c r="D24" s="10">
        <f>VLOOKUP(A24,Dataset!$A$1:$Y$40,18,0)</f>
        <v>-1</v>
      </c>
      <c r="E24" s="10">
        <f>VLOOKUP(A24,Dataset!$A$1:$Y$40,20,0)</f>
        <v>-1</v>
      </c>
      <c r="F24" s="10">
        <f>VLOOKUP(A24,Dataset!$A$1:$Y$40,22,0)</f>
        <v>-1</v>
      </c>
    </row>
    <row r="25" spans="1:6" ht="14.4" x14ac:dyDescent="0.3">
      <c r="A25" s="7" t="s">
        <v>34</v>
      </c>
      <c r="B25" s="10">
        <f>VLOOKUP(A25,Dataset!$A$1:$Y$40,7,0)</f>
        <v>43.3</v>
      </c>
      <c r="C25" s="10">
        <f>VLOOKUP(A25,Dataset!$A$1:$Y$40,14,0)</f>
        <v>128.6</v>
      </c>
      <c r="D25" s="10">
        <f>VLOOKUP(A25,Dataset!$A$1:$Y$40,18,0)</f>
        <v>79.400000000000006</v>
      </c>
      <c r="E25" s="10">
        <f>VLOOKUP(A25,Dataset!$A$1:$Y$40,20,0)</f>
        <v>160.9</v>
      </c>
      <c r="F25" s="10">
        <f>VLOOKUP(A25,Dataset!$A$1:$Y$40,22,0)</f>
        <v>79.400000000000006</v>
      </c>
    </row>
    <row r="26" spans="1:6" ht="14.4" x14ac:dyDescent="0.3">
      <c r="A26" s="7" t="s">
        <v>37</v>
      </c>
      <c r="B26" s="10">
        <f>VLOOKUP(A26,Dataset!$A$1:$Y$40,7,0)</f>
        <v>49.1</v>
      </c>
      <c r="C26" s="10">
        <f>VLOOKUP(A26,Dataset!$A$1:$Y$40,14,0)</f>
        <v>146.80000000000001</v>
      </c>
      <c r="D26" s="10">
        <f>VLOOKUP(A26,Dataset!$A$1:$Y$40,18,0)</f>
        <v>90.9</v>
      </c>
      <c r="E26" s="10">
        <f>VLOOKUP(A26,Dataset!$A$1:$Y$40,20,0)</f>
        <v>183.5</v>
      </c>
      <c r="F26" s="10">
        <f>VLOOKUP(A26,Dataset!$A$1:$Y$40,22,0)</f>
        <v>90.9</v>
      </c>
    </row>
    <row r="27" spans="1:6" ht="14.4" x14ac:dyDescent="0.3">
      <c r="A27" s="7" t="s">
        <v>39</v>
      </c>
      <c r="B27" s="10">
        <f>VLOOKUP(A27,Dataset!$A$1:$Y$40,7,0)</f>
        <v>51.8</v>
      </c>
      <c r="C27" s="10">
        <f>VLOOKUP(A27,Dataset!$A$1:$Y$40,14,0)</f>
        <v>156.4</v>
      </c>
      <c r="D27" s="10">
        <f>VLOOKUP(A27,Dataset!$A$1:$Y$40,18,0)</f>
        <v>93.1</v>
      </c>
      <c r="E27" s="10">
        <f>VLOOKUP(A27,Dataset!$A$1:$Y$40,20,0)</f>
        <v>188.1</v>
      </c>
      <c r="F27" s="10">
        <f>VLOOKUP(A27,Dataset!$A$1:$Y$40,22,0)</f>
        <v>93.1</v>
      </c>
    </row>
    <row r="28" spans="1:6" ht="14.4" x14ac:dyDescent="0.3">
      <c r="A28" s="17" t="s">
        <v>82</v>
      </c>
      <c r="B28" s="10">
        <f>MIN(B6:B27)</f>
        <v>-1</v>
      </c>
      <c r="C28" s="10">
        <f>MIN(C6:C27)</f>
        <v>-1</v>
      </c>
      <c r="D28" s="10">
        <f>MIN(D6:D27)</f>
        <v>-1</v>
      </c>
      <c r="E28" s="10">
        <f>MIN(E6:E27)</f>
        <v>-1</v>
      </c>
      <c r="F28" s="10">
        <f>MIN(F6:F27)</f>
        <v>-1</v>
      </c>
    </row>
    <row r="29" spans="1:6" ht="14.4" x14ac:dyDescent="0.3">
      <c r="A29" s="17" t="s">
        <v>83</v>
      </c>
      <c r="B29" s="10">
        <f>MAX(B6:B27)</f>
        <v>51.8</v>
      </c>
      <c r="C29" s="10">
        <f>MAX(C6:C27)</f>
        <v>156.4</v>
      </c>
      <c r="D29" s="10">
        <f>MAX(D6:D27)</f>
        <v>93.1</v>
      </c>
      <c r="E29" s="10">
        <f>MAX(E6:E27)</f>
        <v>188.1</v>
      </c>
      <c r="F29" s="10">
        <f>MAX(F6:F27)</f>
        <v>93.1</v>
      </c>
    </row>
    <row r="30" spans="1:6" ht="14.4" x14ac:dyDescent="0.3">
      <c r="A30" s="17" t="s">
        <v>84</v>
      </c>
      <c r="B30" s="10">
        <f>AVERAGE(B6:B27)</f>
        <v>20.827272727272728</v>
      </c>
      <c r="C30" s="10">
        <f>AVERAGE(C6:C27)</f>
        <v>62.377272727272725</v>
      </c>
      <c r="D30" s="10">
        <f>AVERAGE(D6:D27)</f>
        <v>37.800000000000004</v>
      </c>
      <c r="E30" s="10">
        <f>AVERAGE(E6:E27)</f>
        <v>76.418181818181822</v>
      </c>
      <c r="F30" s="1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M6" sqref="M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0" t="s">
        <v>53</v>
      </c>
      <c r="B5" s="37"/>
    </row>
    <row r="6" spans="1:10" ht="18" x14ac:dyDescent="0.35">
      <c r="A6" s="40" t="s">
        <v>153</v>
      </c>
      <c r="B6" s="37" t="s">
        <v>181</v>
      </c>
    </row>
    <row r="7" spans="1:10" ht="18" x14ac:dyDescent="0.35">
      <c r="A7" s="40"/>
      <c r="B7" s="37"/>
    </row>
    <row r="9" spans="1:10" ht="23.4" x14ac:dyDescent="0.45">
      <c r="A9" s="16" t="s">
        <v>165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121</v>
      </c>
      <c r="B16" s="10" t="str" cm="1">
        <f t="array" ref="B16:F16">_xlfn.TEXTSPLIT(A16,{";;","-","/","_"})</f>
        <v>20000</v>
      </c>
      <c r="C16" s="1" t="str">
        <v>Monday</v>
      </c>
      <c r="D16" s="10" t="str">
        <v>0</v>
      </c>
      <c r="E16" s="1" t="str">
        <v>Sunday</v>
      </c>
      <c r="F16" s="10" t="str">
        <v>24</v>
      </c>
    </row>
    <row r="17" spans="1:6" x14ac:dyDescent="0.3">
      <c r="A17" s="7" t="s">
        <v>122</v>
      </c>
      <c r="B17" s="10" t="str" cm="1">
        <f t="array" ref="B17:F17">_xlfn.TEXTSPLIT(A17,{";;","-","/","_"})</f>
        <v>20002</v>
      </c>
      <c r="C17" s="1" t="str">
        <v>Monday</v>
      </c>
      <c r="D17" s="10" t="str">
        <v>0</v>
      </c>
      <c r="E17" s="1" t="str">
        <v>Sunday</v>
      </c>
      <c r="F17" s="10" t="str">
        <v>24</v>
      </c>
    </row>
    <row r="18" spans="1:6" x14ac:dyDescent="0.3">
      <c r="A18" s="7" t="s">
        <v>123</v>
      </c>
      <c r="B18" s="10" t="str" cm="1">
        <f t="array" ref="B18:F18">_xlfn.TEXTSPLIT(A18,{";;","-","/","_"})</f>
        <v>20004</v>
      </c>
      <c r="C18" s="1" t="str">
        <v>Monday</v>
      </c>
      <c r="D18" s="10" t="str">
        <v>0</v>
      </c>
      <c r="E18" s="1" t="str">
        <v>Sunday</v>
      </c>
      <c r="F18" s="10" t="str">
        <v>24</v>
      </c>
    </row>
    <row r="19" spans="1:6" x14ac:dyDescent="0.3">
      <c r="A19" s="7" t="s">
        <v>124</v>
      </c>
      <c r="B19" s="10" t="str" cm="1">
        <f t="array" ref="B19:F19">_xlfn.TEXTSPLIT(A19,{";;","-","/","_"})</f>
        <v>20006</v>
      </c>
      <c r="C19" s="1" t="str">
        <v>Monday</v>
      </c>
      <c r="D19" s="10" t="str">
        <v>0</v>
      </c>
      <c r="E19" s="1" t="str">
        <v>Sunday</v>
      </c>
      <c r="F19" s="10" t="str">
        <v>24</v>
      </c>
    </row>
    <row r="20" spans="1:6" x14ac:dyDescent="0.3">
      <c r="A20" s="7" t="s">
        <v>125</v>
      </c>
      <c r="B20" s="10" t="str" cm="1">
        <f t="array" ref="B20:F20">_xlfn.TEXTSPLIT(A20,{";;","-","/","_"})</f>
        <v>20008</v>
      </c>
      <c r="C20" s="1" t="str">
        <v>Monday</v>
      </c>
      <c r="D20" s="10" t="str">
        <v>0</v>
      </c>
      <c r="E20" s="1" t="str">
        <v>Sunday</v>
      </c>
      <c r="F20" s="10" t="str">
        <v>24</v>
      </c>
    </row>
    <row r="21" spans="1:6" x14ac:dyDescent="0.3">
      <c r="A21" s="7" t="s">
        <v>126</v>
      </c>
      <c r="B21" s="10" t="str" cm="1">
        <f t="array" ref="B21:F21">_xlfn.TEXTSPLIT(A21,{";;","-","/","_"})</f>
        <v>20010</v>
      </c>
      <c r="C21" s="1" t="str">
        <v>Monday</v>
      </c>
      <c r="D21" s="10" t="str">
        <v>0</v>
      </c>
      <c r="E21" s="1" t="str">
        <v>Sunday</v>
      </c>
      <c r="F21" s="10" t="str">
        <v>24</v>
      </c>
    </row>
    <row r="22" spans="1:6" x14ac:dyDescent="0.3">
      <c r="A22" s="7" t="s">
        <v>127</v>
      </c>
      <c r="B22" s="10" t="str" cm="1">
        <f t="array" ref="B22:F22">_xlfn.TEXTSPLIT(A22,{";;","-","/","_"})</f>
        <v>20012</v>
      </c>
      <c r="C22" s="1" t="str">
        <v>Monday</v>
      </c>
      <c r="D22" s="10" t="str">
        <v>0</v>
      </c>
      <c r="E22" s="1" t="str">
        <v>Sunday</v>
      </c>
      <c r="F22" s="10" t="str">
        <v>24</v>
      </c>
    </row>
    <row r="23" spans="1:6" x14ac:dyDescent="0.3">
      <c r="A23" s="7" t="s">
        <v>128</v>
      </c>
      <c r="B23" s="10" t="str" cm="1">
        <f t="array" ref="B23:F23">_xlfn.TEXTSPLIT(A23,{";;","-","/","_"})</f>
        <v>20014</v>
      </c>
      <c r="C23" s="1" t="str">
        <v>Monday</v>
      </c>
      <c r="D23" s="10" t="str">
        <v>0</v>
      </c>
      <c r="E23" s="1" t="str">
        <v>Sunday</v>
      </c>
      <c r="F23" s="10" t="str">
        <v>24</v>
      </c>
    </row>
    <row r="24" spans="1:6" x14ac:dyDescent="0.3">
      <c r="A24" s="7" t="s">
        <v>129</v>
      </c>
      <c r="B24" s="10" t="str" cm="1">
        <f t="array" ref="B24:F24">_xlfn.TEXTSPLIT(A24,{";;","-","/","_"})</f>
        <v>20016</v>
      </c>
      <c r="C24" s="1" t="str">
        <v>Monday</v>
      </c>
      <c r="D24" s="10" t="str">
        <v>0</v>
      </c>
      <c r="E24" s="1" t="str">
        <v>Sunday</v>
      </c>
      <c r="F24" s="10" t="str">
        <v>24</v>
      </c>
    </row>
    <row r="25" spans="1:6" x14ac:dyDescent="0.3">
      <c r="A25" s="7" t="s">
        <v>130</v>
      </c>
      <c r="B25" s="10" t="str" cm="1">
        <f t="array" ref="B25:F25">_xlfn.TEXTSPLIT(A25,{";;","-","/","_"})</f>
        <v>20018</v>
      </c>
      <c r="C25" s="1" t="str">
        <v>Monday</v>
      </c>
      <c r="D25" s="10" t="str">
        <v>0</v>
      </c>
      <c r="E25" s="1" t="str">
        <v>Sunday</v>
      </c>
      <c r="F25" s="10" t="str">
        <v>24</v>
      </c>
    </row>
    <row r="26" spans="1:6" x14ac:dyDescent="0.3">
      <c r="A26" s="7" t="s">
        <v>131</v>
      </c>
      <c r="B26" s="10" t="str" cm="1">
        <f t="array" ref="B26:F26">_xlfn.TEXTSPLIT(A26,{";;","-","/","_"})</f>
        <v>20020</v>
      </c>
      <c r="C26" s="1" t="str">
        <v>Monday</v>
      </c>
      <c r="D26" s="10" t="str">
        <v>0</v>
      </c>
      <c r="E26" s="1" t="str">
        <v>Sunday</v>
      </c>
      <c r="F26" s="10" t="str">
        <v>24</v>
      </c>
    </row>
    <row r="27" spans="1:6" x14ac:dyDescent="0.3">
      <c r="A27" s="7" t="s">
        <v>132</v>
      </c>
      <c r="B27" s="10" t="str" cm="1">
        <f t="array" ref="B27:F27">_xlfn.TEXTSPLIT(A27,{";;","-","/","_"})</f>
        <v>20022</v>
      </c>
      <c r="C27" s="1" t="str">
        <v>Monday</v>
      </c>
      <c r="D27" s="10" t="str">
        <v>0</v>
      </c>
      <c r="E27" s="1" t="str">
        <v>Sunday</v>
      </c>
      <c r="F27" s="10" t="str">
        <v>24</v>
      </c>
    </row>
    <row r="28" spans="1:6" x14ac:dyDescent="0.3">
      <c r="A28" s="7" t="s">
        <v>133</v>
      </c>
      <c r="B28" s="10" t="str" cm="1">
        <f t="array" ref="B28:F28">_xlfn.TEXTSPLIT(A28,{";;","-","/","_"})</f>
        <v>20024</v>
      </c>
      <c r="C28" s="1" t="str">
        <v>Monday</v>
      </c>
      <c r="D28" s="10" t="str">
        <v>0</v>
      </c>
      <c r="E28" s="1" t="str">
        <v>Sunday</v>
      </c>
      <c r="F28" s="10" t="str">
        <v>24</v>
      </c>
    </row>
    <row r="29" spans="1:6" x14ac:dyDescent="0.3">
      <c r="A29" s="7" t="s">
        <v>134</v>
      </c>
      <c r="B29" s="10" t="str" cm="1">
        <f t="array" ref="B29:F29">_xlfn.TEXTSPLIT(A29,{";;","-","/","_"})</f>
        <v>20026</v>
      </c>
      <c r="C29" s="1" t="str">
        <v>Monday</v>
      </c>
      <c r="D29" s="10" t="str">
        <v>0</v>
      </c>
      <c r="E29" s="1" t="str">
        <v>Sunday</v>
      </c>
      <c r="F29" s="10" t="str">
        <v>24</v>
      </c>
    </row>
    <row r="30" spans="1:6" x14ac:dyDescent="0.3">
      <c r="A30" s="7" t="s">
        <v>135</v>
      </c>
      <c r="B30" s="10" t="str" cm="1">
        <f t="array" ref="B30:F30">_xlfn.TEXTSPLIT(A30,{";;","-","/","_"})</f>
        <v>20028</v>
      </c>
      <c r="C30" s="1" t="str">
        <v>Monday</v>
      </c>
      <c r="D30" s="10" t="str">
        <v>0</v>
      </c>
      <c r="E30" s="1" t="str">
        <v>Sunday</v>
      </c>
      <c r="F30" s="10" t="str">
        <v>24</v>
      </c>
    </row>
    <row r="31" spans="1:6" x14ac:dyDescent="0.3">
      <c r="A31" s="7" t="s">
        <v>136</v>
      </c>
      <c r="B31" s="10" t="str" cm="1">
        <f t="array" ref="B31:F31">_xlfn.TEXTSPLIT(A31,{";;","-","/","_"})</f>
        <v>20030</v>
      </c>
      <c r="C31" s="1" t="str">
        <v>Monday</v>
      </c>
      <c r="D31" s="10" t="str">
        <v>0</v>
      </c>
      <c r="E31" s="1" t="str">
        <v>Sunday</v>
      </c>
      <c r="F31" s="10" t="str">
        <v>24</v>
      </c>
    </row>
    <row r="32" spans="1:6" x14ac:dyDescent="0.3">
      <c r="A32" s="7" t="s">
        <v>137</v>
      </c>
      <c r="B32" s="10" t="str" cm="1">
        <f t="array" ref="B32:F32">_xlfn.TEXTSPLIT(A32,{";;","-","/","_"})</f>
        <v>20032</v>
      </c>
      <c r="C32" s="1" t="str">
        <v>Monday</v>
      </c>
      <c r="D32" s="10" t="str">
        <v>0</v>
      </c>
      <c r="E32" s="1" t="str">
        <v>Sunday</v>
      </c>
      <c r="F32" s="10" t="str">
        <v>24</v>
      </c>
    </row>
    <row r="33" spans="1:6" x14ac:dyDescent="0.3">
      <c r="A33" s="7" t="s">
        <v>138</v>
      </c>
      <c r="B33" s="10" t="str" cm="1">
        <f t="array" ref="B33:F33">_xlfn.TEXTSPLIT(A33,{";;","-","/","_"})</f>
        <v>20034</v>
      </c>
      <c r="C33" s="1" t="str">
        <v>Monday</v>
      </c>
      <c r="D33" s="10" t="str">
        <v>0</v>
      </c>
      <c r="E33" s="1" t="str">
        <v>Sunday</v>
      </c>
      <c r="F33" s="10" t="str">
        <v>24</v>
      </c>
    </row>
    <row r="34" spans="1:6" x14ac:dyDescent="0.3">
      <c r="A34" s="7" t="s">
        <v>139</v>
      </c>
      <c r="B34" s="10" t="str" cm="1">
        <f t="array" ref="B34:F34">_xlfn.TEXTSPLIT(A34,{";;","-","/","_"})</f>
        <v>20036</v>
      </c>
      <c r="C34" s="1" t="str">
        <v>Monday</v>
      </c>
      <c r="D34" s="10" t="str">
        <v>0</v>
      </c>
      <c r="E34" s="1" t="str">
        <v>Sunday</v>
      </c>
      <c r="F34" s="10" t="str">
        <v>24</v>
      </c>
    </row>
    <row r="35" spans="1:6" x14ac:dyDescent="0.3">
      <c r="A35" s="7" t="s">
        <v>140</v>
      </c>
      <c r="B35" s="10" t="str" cm="1">
        <f t="array" ref="B35:F35">_xlfn.TEXTSPLIT(A35,{";;","-","/","_"})</f>
        <v>20038</v>
      </c>
      <c r="C35" s="1" t="str">
        <v>Monday</v>
      </c>
      <c r="D35" s="10" t="str">
        <v>0</v>
      </c>
      <c r="E35" s="1" t="str">
        <v>Sunday</v>
      </c>
      <c r="F35" s="10" t="str">
        <v>24</v>
      </c>
    </row>
    <row r="36" spans="1:6" x14ac:dyDescent="0.3">
      <c r="A36" s="7" t="s">
        <v>141</v>
      </c>
      <c r="B36" s="10" t="str" cm="1">
        <f t="array" ref="B36:F36">_xlfn.TEXTSPLIT(A36,{";;","-","/","_"})</f>
        <v>20040</v>
      </c>
      <c r="C36" s="1" t="str">
        <v>Monday</v>
      </c>
      <c r="D36" s="10" t="str">
        <v>0</v>
      </c>
      <c r="E36" s="1" t="str">
        <v>Sunday</v>
      </c>
      <c r="F36" s="10" t="str">
        <v>24</v>
      </c>
    </row>
    <row r="37" spans="1:6" x14ac:dyDescent="0.3">
      <c r="A37" s="7" t="s">
        <v>142</v>
      </c>
      <c r="B37" s="10" t="str" cm="1">
        <f t="array" ref="B37:F37">_xlfn.TEXTSPLIT(A37,{";;","-","/","_"})</f>
        <v>20042</v>
      </c>
      <c r="C37" s="1" t="str">
        <v>Monday</v>
      </c>
      <c r="D37" s="10" t="str">
        <v>0</v>
      </c>
      <c r="E37" s="1" t="str">
        <v>Sunday</v>
      </c>
      <c r="F37" s="10" t="str">
        <v>24</v>
      </c>
    </row>
    <row r="38" spans="1:6" x14ac:dyDescent="0.3">
      <c r="A38" s="7" t="s">
        <v>143</v>
      </c>
      <c r="B38" s="10" t="str" cm="1">
        <f t="array" ref="B38:F38">_xlfn.TEXTSPLIT(A38,{";;","-","/","_"})</f>
        <v>20044</v>
      </c>
      <c r="C38" s="1" t="str">
        <v>Monday</v>
      </c>
      <c r="D38" s="10" t="str">
        <v>0</v>
      </c>
      <c r="E38" s="1" t="str">
        <v>Sunday</v>
      </c>
      <c r="F38" s="10" t="str">
        <v>24</v>
      </c>
    </row>
    <row r="39" spans="1:6" x14ac:dyDescent="0.3">
      <c r="A39" s="7" t="s">
        <v>144</v>
      </c>
      <c r="B39" s="10" t="str" cm="1">
        <f t="array" ref="B39:F39">_xlfn.TEXTSPLIT(A39,{";;","-","/","_"})</f>
        <v>20046</v>
      </c>
      <c r="C39" s="1" t="str">
        <v>Monday</v>
      </c>
      <c r="D39" s="10" t="str">
        <v>0</v>
      </c>
      <c r="E39" s="1" t="str">
        <v>Sunday</v>
      </c>
      <c r="F39" s="10" t="str">
        <v>24</v>
      </c>
    </row>
    <row r="40" spans="1:6" x14ac:dyDescent="0.3">
      <c r="A40" s="7" t="s">
        <v>145</v>
      </c>
      <c r="B40" s="10" t="str" cm="1">
        <f t="array" ref="B40:F40">_xlfn.TEXTSPLIT(A40,{";;","-","/","_"})</f>
        <v>20048</v>
      </c>
      <c r="C40" s="1" t="str">
        <v>Monday</v>
      </c>
      <c r="D40" s="10" t="str">
        <v>0</v>
      </c>
      <c r="E40" s="1" t="str">
        <v>Sunday</v>
      </c>
      <c r="F40" s="10" t="str">
        <v>24</v>
      </c>
    </row>
    <row r="41" spans="1:6" x14ac:dyDescent="0.3">
      <c r="A41" s="7" t="s">
        <v>146</v>
      </c>
      <c r="B41" s="10" t="str" cm="1">
        <f t="array" ref="B41:F41">_xlfn.TEXTSPLIT(A41,{";;","-","/","_"})</f>
        <v>20050</v>
      </c>
      <c r="C41" s="1" t="str">
        <v>Monday</v>
      </c>
      <c r="D41" s="10" t="str">
        <v>0</v>
      </c>
      <c r="E41" s="1" t="str">
        <v>Sunday</v>
      </c>
      <c r="F41" s="10" t="str">
        <v>24</v>
      </c>
    </row>
    <row r="42" spans="1:6" x14ac:dyDescent="0.3">
      <c r="A42" s="7" t="s">
        <v>147</v>
      </c>
      <c r="B42" s="10" t="str" cm="1">
        <f t="array" ref="B42:F42">_xlfn.TEXTSPLIT(A42,{";;","-","/","_"})</f>
        <v>20052</v>
      </c>
      <c r="C42" s="1" t="str">
        <v>Monday</v>
      </c>
      <c r="D42" s="10" t="str">
        <v>0</v>
      </c>
      <c r="E42" s="1" t="str">
        <v>Sunday</v>
      </c>
      <c r="F42" s="10" t="str">
        <v>24</v>
      </c>
    </row>
    <row r="43" spans="1:6" x14ac:dyDescent="0.3">
      <c r="A43" s="7" t="s">
        <v>148</v>
      </c>
      <c r="B43" s="10" t="str" cm="1">
        <f t="array" ref="B43:F43">_xlfn.TEXTSPLIT(A43,{";;","-","/","_"})</f>
        <v>20054</v>
      </c>
      <c r="C43" s="1" t="str">
        <v>Monday</v>
      </c>
      <c r="D43" s="10" t="str">
        <v>0</v>
      </c>
      <c r="E43" s="1" t="str">
        <v>Sunday</v>
      </c>
      <c r="F43" s="10" t="str">
        <v>24</v>
      </c>
    </row>
    <row r="44" spans="1:6" x14ac:dyDescent="0.3">
      <c r="A44" s="7" t="s">
        <v>149</v>
      </c>
      <c r="B44" s="10" t="str" cm="1">
        <f t="array" ref="B44:F44">_xlfn.TEXTSPLIT(A44,{";;","-","/","_"})</f>
        <v>20058</v>
      </c>
      <c r="C44" s="1" t="str">
        <v>Monday</v>
      </c>
      <c r="D44" s="10" t="str">
        <v>0</v>
      </c>
      <c r="E44" s="1" t="str">
        <v>Sunday</v>
      </c>
      <c r="F44" s="10" t="str">
        <v>24</v>
      </c>
    </row>
    <row r="45" spans="1:6" x14ac:dyDescent="0.3">
      <c r="A45" s="7" t="s">
        <v>150</v>
      </c>
      <c r="B45" s="10" t="str" cm="1">
        <f t="array" ref="B45:F45">_xlfn.TEXTSPLIT(A45,{";;","-","/","_"})</f>
        <v>20060</v>
      </c>
      <c r="C45" s="1" t="str">
        <v>Monday</v>
      </c>
      <c r="D45" s="10" t="str">
        <v>0</v>
      </c>
      <c r="E45" s="1" t="str">
        <v>Sunday</v>
      </c>
      <c r="F45" s="10" t="str">
        <v>24</v>
      </c>
    </row>
    <row r="46" spans="1:6" x14ac:dyDescent="0.3">
      <c r="A46" s="7" t="s">
        <v>112</v>
      </c>
      <c r="B46" s="10" t="str" cm="1">
        <f t="array" ref="B46:F46">_xlfn.TEXTSPLIT(A46,{";;","-","/","_"})</f>
        <v>21000</v>
      </c>
      <c r="C46" s="1" t="str">
        <v>Monday</v>
      </c>
      <c r="D46" s="10" t="str">
        <v>0</v>
      </c>
      <c r="E46" s="1" t="str">
        <v>Sunday</v>
      </c>
      <c r="F46" s="10" t="str">
        <v>24</v>
      </c>
    </row>
    <row r="47" spans="1:6" x14ac:dyDescent="0.3">
      <c r="A47" s="7" t="s">
        <v>113</v>
      </c>
      <c r="B47" s="10" t="str" cm="1">
        <f t="array" ref="B47:F47">_xlfn.TEXTSPLIT(A47,{";;","-","/","_"})</f>
        <v>21002</v>
      </c>
      <c r="C47" s="1" t="str">
        <v>Monday</v>
      </c>
      <c r="D47" s="10" t="str">
        <v>0</v>
      </c>
      <c r="E47" s="1" t="str">
        <v>Sunday</v>
      </c>
      <c r="F47" s="10" t="str">
        <v>24</v>
      </c>
    </row>
    <row r="48" spans="1:6" x14ac:dyDescent="0.3">
      <c r="A48" s="7" t="s">
        <v>114</v>
      </c>
      <c r="B48" s="10" t="str" cm="1">
        <f t="array" ref="B48:F48">_xlfn.TEXTSPLIT(A48,{";;","-","/","_"})</f>
        <v>21004</v>
      </c>
      <c r="C48" s="1" t="str">
        <v>Monday</v>
      </c>
      <c r="D48" s="10" t="str">
        <v>0</v>
      </c>
      <c r="E48" s="1" t="str">
        <v>Sunday</v>
      </c>
      <c r="F48" s="10" t="str">
        <v>24</v>
      </c>
    </row>
    <row r="49" spans="1:6" x14ac:dyDescent="0.3">
      <c r="A49" s="7" t="s">
        <v>115</v>
      </c>
      <c r="B49" s="10" t="str" cm="1">
        <f t="array" ref="B49:F49">_xlfn.TEXTSPLIT(A49,{";;","-","/","_"})</f>
        <v>21006</v>
      </c>
      <c r="C49" s="1" t="str">
        <v>Monday</v>
      </c>
      <c r="D49" s="10" t="str">
        <v>0</v>
      </c>
      <c r="E49" s="1" t="str">
        <v>Sunday</v>
      </c>
      <c r="F49" s="10" t="str">
        <v>24</v>
      </c>
    </row>
    <row r="50" spans="1:6" x14ac:dyDescent="0.3">
      <c r="A50" s="7" t="s">
        <v>116</v>
      </c>
      <c r="B50" s="10" t="str" cm="1">
        <f t="array" ref="B50:F50">_xlfn.TEXTSPLIT(A50,{";;","-","/","_"})</f>
        <v>21008</v>
      </c>
      <c r="C50" s="1" t="str">
        <v>Monday</v>
      </c>
      <c r="D50" s="10" t="str">
        <v>0</v>
      </c>
      <c r="E50" s="1" t="str">
        <v>Sunday</v>
      </c>
      <c r="F50" s="10" t="str">
        <v>24</v>
      </c>
    </row>
    <row r="51" spans="1:6" x14ac:dyDescent="0.3">
      <c r="A51" s="7" t="s">
        <v>117</v>
      </c>
      <c r="B51" s="10" t="str" cm="1">
        <f t="array" ref="B51:F51">_xlfn.TEXTSPLIT(A51,{";;","-","/","_"})</f>
        <v>21010</v>
      </c>
      <c r="C51" s="1" t="str">
        <v>Monday</v>
      </c>
      <c r="D51" s="10" t="str">
        <v>0</v>
      </c>
      <c r="E51" s="1" t="str">
        <v>Sunday</v>
      </c>
      <c r="F51" s="10" t="str">
        <v>24</v>
      </c>
    </row>
    <row r="52" spans="1:6" x14ac:dyDescent="0.3">
      <c r="A52" s="7" t="s">
        <v>118</v>
      </c>
      <c r="B52" s="10" t="str" cm="1">
        <f t="array" ref="B52:F52">_xlfn.TEXTSPLIT(A52,{";;","-","/","_"})</f>
        <v>21012</v>
      </c>
      <c r="C52" s="1" t="str">
        <v>Monday</v>
      </c>
      <c r="D52" s="10" t="str">
        <v>0</v>
      </c>
      <c r="E52" s="1" t="str">
        <v>Sunday</v>
      </c>
      <c r="F52" s="10" t="str">
        <v>24</v>
      </c>
    </row>
    <row r="53" spans="1:6" x14ac:dyDescent="0.3">
      <c r="A53" s="7" t="s">
        <v>119</v>
      </c>
      <c r="B53" s="10" t="str" cm="1">
        <f t="array" ref="B53:F53">_xlfn.TEXTSPLIT(A53,{";;","-","/","_"})</f>
        <v>21014</v>
      </c>
      <c r="C53" s="1" t="str">
        <v>Monday</v>
      </c>
      <c r="D53" s="10" t="str">
        <v>0</v>
      </c>
      <c r="E53" s="1" t="str">
        <v>Sunday</v>
      </c>
      <c r="F53" s="10" t="str">
        <v>24</v>
      </c>
    </row>
    <row r="54" spans="1:6" x14ac:dyDescent="0.3">
      <c r="A54" s="8" t="s">
        <v>120</v>
      </c>
      <c r="B54" s="10" t="str" cm="1">
        <f t="array" ref="B54:F54">_xlfn.TEXTSPLIT(A54,{";;","-","/","_"})</f>
        <v>21016</v>
      </c>
      <c r="C54" s="1" t="str">
        <v>Monday</v>
      </c>
      <c r="D54" s="10" t="str">
        <v>0</v>
      </c>
      <c r="E54" s="1" t="str">
        <v>Sunday</v>
      </c>
      <c r="F54" s="10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167</v>
      </c>
    </row>
    <row r="2" spans="1:3" ht="18" x14ac:dyDescent="0.35">
      <c r="B2" s="37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6" t="s">
        <v>162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>
        <f>IFERROR(VLOOKUP(C15,D12, 3, FALSE), 20)</f>
        <v>20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>
        <v>20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154</v>
      </c>
      <c r="C17" s="15">
        <v>150</v>
      </c>
    </row>
    <row r="18" spans="1:3" ht="14.4" x14ac:dyDescent="0.3">
      <c r="A18" s="29">
        <v>44933</v>
      </c>
      <c r="B18" s="15" t="s">
        <v>155</v>
      </c>
      <c r="C18" s="15">
        <v>80</v>
      </c>
    </row>
    <row r="19" spans="1:3" ht="14.4" x14ac:dyDescent="0.3">
      <c r="A19" s="29">
        <v>44934</v>
      </c>
      <c r="B19" s="15" t="s">
        <v>156</v>
      </c>
      <c r="C19" s="15">
        <v>20</v>
      </c>
    </row>
    <row r="20" spans="1:3" ht="14.4" x14ac:dyDescent="0.3">
      <c r="A20" s="29">
        <v>44935</v>
      </c>
      <c r="B20" s="15" t="s">
        <v>157</v>
      </c>
      <c r="C20" s="15">
        <v>30</v>
      </c>
    </row>
    <row r="21" spans="1:3" ht="14.4" x14ac:dyDescent="0.3">
      <c r="A21" s="29">
        <v>44936</v>
      </c>
      <c r="B21" s="15" t="s">
        <v>158</v>
      </c>
      <c r="C21" s="15">
        <v>20</v>
      </c>
    </row>
    <row r="22" spans="1:3" ht="14.4" x14ac:dyDescent="0.3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="110" zoomScaleNormal="100" workbookViewId="0">
      <selection activeCell="B22" sqref="B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175</v>
      </c>
    </row>
    <row r="3" spans="1:14" ht="14.4" x14ac:dyDescent="0.3">
      <c r="B3" s="1" t="s">
        <v>151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/>
    </row>
    <row r="24" spans="1:14" ht="14.4" x14ac:dyDescent="0.3">
      <c r="A24" s="7">
        <v>10100</v>
      </c>
      <c r="B24" s="10">
        <v>10104</v>
      </c>
      <c r="C24" s="41"/>
    </row>
    <row r="25" spans="1:14" ht="14.4" x14ac:dyDescent="0.3">
      <c r="A25" s="7">
        <v>10108</v>
      </c>
      <c r="B25" s="10">
        <v>10102</v>
      </c>
      <c r="C25" s="41"/>
    </row>
    <row r="26" spans="1:14" ht="14.4" x14ac:dyDescent="0.3">
      <c r="A26" s="7">
        <v>10100</v>
      </c>
      <c r="B26" s="10">
        <v>10106</v>
      </c>
      <c r="C26" s="41"/>
    </row>
    <row r="27" spans="1:14" ht="14.4" x14ac:dyDescent="0.3">
      <c r="A27" s="7">
        <v>10108</v>
      </c>
      <c r="B27" s="10">
        <v>10110</v>
      </c>
      <c r="C27" s="41"/>
    </row>
    <row r="28" spans="1:14" ht="14.4" x14ac:dyDescent="0.3">
      <c r="A28" s="7">
        <v>10102</v>
      </c>
      <c r="B28" s="10">
        <v>10104</v>
      </c>
      <c r="C28" s="41"/>
    </row>
    <row r="29" spans="1:14" ht="14.4" x14ac:dyDescent="0.3">
      <c r="A29" s="7">
        <v>10106</v>
      </c>
      <c r="B29" s="10">
        <v>10108</v>
      </c>
      <c r="C29" s="41"/>
    </row>
    <row r="30" spans="1:14" ht="14.4" x14ac:dyDescent="0.3">
      <c r="A30" s="7">
        <v>10102</v>
      </c>
      <c r="B30" s="10">
        <v>10106</v>
      </c>
      <c r="C30" s="41"/>
    </row>
    <row r="31" spans="1:14" ht="14.4" x14ac:dyDescent="0.3">
      <c r="A31" s="7">
        <v>10110</v>
      </c>
      <c r="B31" s="10">
        <v>10114</v>
      </c>
      <c r="C31" s="41"/>
    </row>
    <row r="32" spans="1:14" ht="14.4" x14ac:dyDescent="0.3">
      <c r="A32" s="7">
        <v>10104</v>
      </c>
      <c r="B32" s="10">
        <v>10106</v>
      </c>
      <c r="C32" s="41"/>
    </row>
    <row r="33" spans="1:3" ht="14.4" x14ac:dyDescent="0.3">
      <c r="A33" s="7">
        <v>10110</v>
      </c>
      <c r="B33" s="10">
        <v>10112</v>
      </c>
      <c r="C33" s="41"/>
    </row>
    <row r="34" spans="1:3" ht="14.4" x14ac:dyDescent="0.3">
      <c r="A34" s="7">
        <v>10100</v>
      </c>
      <c r="B34" s="10">
        <v>10114</v>
      </c>
      <c r="C34" s="41"/>
    </row>
    <row r="35" spans="1:3" ht="14.4" x14ac:dyDescent="0.3">
      <c r="A35" s="8">
        <v>10112</v>
      </c>
      <c r="B35" s="11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Task_1</vt:lpstr>
      <vt:lpstr>Dataset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MD SHARIQUE  ANSARI</cp:lastModifiedBy>
  <dcterms:created xsi:type="dcterms:W3CDTF">2015-02-10T17:33:11Z</dcterms:created>
  <dcterms:modified xsi:type="dcterms:W3CDTF">2023-12-10T10:49:33Z</dcterms:modified>
</cp:coreProperties>
</file>