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ti\Downloads\"/>
    </mc:Choice>
  </mc:AlternateContent>
  <xr:revisionPtr revIDLastSave="0" documentId="13_ncr:1_{94A354A4-C453-4B79-AACF-F02B5276FAD2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/>
  <c r="C30" i="18"/>
  <c r="D30" i="18"/>
  <c r="E30" i="18"/>
  <c r="F30" i="18"/>
  <c r="B30" i="18"/>
  <c r="C29" i="18"/>
  <c r="D29" i="18"/>
  <c r="E29" i="18"/>
  <c r="F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6" i="18"/>
  <c r="C5" i="15"/>
  <c r="H41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<sst xmlns="http://schemas.openxmlformats.org/spreadsheetml/2006/main" count="406" uniqueCount="183">
  <si>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</si>
  <si>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</si>
  <si>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</si>
  <si>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</si>
  <si>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</si>
  <si>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</si>
  <si>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</si>
  <si>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</si>
  <si>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</si>
  <si>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</si>
  <si>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</si>
  <si>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</si>
  <si>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</si>
  <si>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</si>
  <si>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</si>
  <si>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</si>
  <si>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</si>
  <si>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</si>
  <si>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</si>
  <si>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</si>
  <si>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</si>
  <si>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</si>
  <si>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</si>
  <si>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</si>
  <si>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</si>
  <si>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</si>
  <si>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</si>
  <si>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</si>
  <si>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</si>
  <si>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</si>
  <si>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</si>
  <si>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</si>
  <si>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</si>
  <si>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</si>
  <si>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</si>
  <si>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</si>
  <si>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</si>
  <si>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</si>
  <si>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</si>
  <si>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</si>
  <si>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</si>
  <si>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</si>
  <si>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</si>
  <si>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</si>
  <si>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</si>
  <si>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</si>
  <si>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</si>
  <si>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</si>
  <si>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</si>
  <si>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</si>
  <si>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</si>
  <si>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</si>
  <si>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</si>
  <si>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</si>
  <si>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</si>
  <si>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</si>
  <si>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</si>
  <si>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</si>
  <si>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</si>
  <si>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</si>
  <si>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</si>
  <si>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</si>
  <si>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</si>
  <si>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</si>
  <si>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</si>
  <si>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</si>
  <si>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</si>
  <si>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</si>
  <si>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</si>
  <si>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</si>
  <si>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</si>
  <si>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</si>
  <si>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</si>
  <si>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</si>
  <si>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</si>
  <si>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</si>
  <si>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</si>
  <si>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</si>
  <si>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</si>
  <si>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</si>
  <si>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</si>
  <si>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</si>
  <si>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</si>
  <si>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</si>
  <si>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</si>
  <si>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</si>
  <si>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</si>
  <si>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</si>
  <si>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</si>
  <si>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</si>
  <si>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</si>
  <si>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</si>
  <si>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</si>
  <si>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</si>
  <si>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</si>
  <si>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</si>
  <si>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</si>
  <si>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</si>
  <si>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</si>
  <si>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</si>
  <si>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</si>
  <si>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</si>
  <si>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</si>
  <si>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</si>
  <si>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</si>
  <si>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</si>
  <si>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</si>
  <si>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</si>
  <si>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</si>
  <si>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</si>
  <si>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</si>
  <si>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</si>
  <si>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</si>
  <si>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</si>
  <si>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</si>
  <si>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</si>
  <si>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</si>
  <si>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</si>
  <si>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</si>
  <si>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</si>
  <si>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</si>
  <si>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</si>
  <si>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</si>
  <si>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</si>
  <si>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</si>
  <si>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</si>
  <si>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</si>
  <si>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</si>
  <si>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</si>
  <si>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</si>
  <si>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</si>
  <si>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</si>
  <si>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</si>
  <si>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</si>
  <si>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</si>
  <si>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</si>
  <si>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</si>
  <si>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</si>
  <si>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</si>
  <si>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</si>
  <si>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</si>
  <si>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</si>
  <si>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</si>
  <si>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</si>
  <si>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</si>
  <si>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</si>
  <si>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</si>
  <si>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</si>
  <si>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</si>
  <si>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</si>
  <si>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</si>
  <si>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</si>
  <si>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</si>
  <si>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</si>
  <si>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</si>
  <si>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</si>
  <si>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</si>
  <si>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</si>
  <si>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</si>
  <si>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</si>
  <si>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</si>
  <si>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</si>
  <si>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</si>
  <si>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</si>
  <si>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</si>
  <si>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</si>
  <si>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</si>
  <si>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</si>
  <si>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</si>
  <si>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</si>
  <si>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</si>
  <si>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</si>
  <si>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</si>
  <si>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</si>
  <si>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</si>
  <si>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</si>
  <si>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</si>
  <si>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used</t>
  </si>
  <si>
    <t xml:space="preserve">"SUMIF(Dataset!H1:H40, "&gt;20", Dataset!H1:H40)"  please select show formula on the left side cell </t>
  </si>
  <si>
    <t>Text to columns</t>
  </si>
  <si>
    <t xml:space="preserve">Select the text you want to split into different columns&gt; Data tab&gt; data tools ribbon&gt; "Text to columns" &gt; choose the "delimiter" you want to have seperation from &gt; check the "data preview" if it is correct&gt; choose the "destination" where you want the seperation </t>
  </si>
  <si>
    <t>Select the data u want to find the value and replace &gt; open the find and replace dialoge box&gt; ctrl+f &gt; write the term you want to search&gt; find all&gt; write the term you want to replace it with "20" &gt; replace all</t>
  </si>
  <si>
    <t>Find and Replace                Sum(C12:C21)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</si>
</sst>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5" fillId="0" borderId="0" xfId="0" applyFont="1"/>
    <xf numFmtId="0" fontId="3" fillId="0" borderId="0" xfId="0" applyFont="1"/>
    <xf numFmtId="0" fontId="7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B1" zoomScaleNormal="100" workbookViewId="0">
      <pane ySplit="1" topLeftCell="A3" activePane="bottomLeft" state="frozen"/>
      <selection pane="bottomLeft" activeCell="Y11" sqref="Y1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1">
        <f>SUMIF(H1:H40, "&gt;20", H1:H40)</f>
        <v>1473.0000000000002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G1:W40">
    <cfRule type="cellIs" dxfId="4" priority="1" operator="between">
      <formula>0</formula>
      <formula>0.999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5BB7AFD-A666-4D58-AC69-25C27492DF0A}">
            <xm:f>NOT(ISERROR(SEARCH(-1,A1)))</xm:f>
            <xm:f>-1</xm:f>
            <x14:dxf>
              <fill>
                <patternFill>
                  <bgColor rgb="FFFF0000"/>
                </patternFill>
              </fill>
            </x14:dxf>
          </x14:cfRule>
          <xm:sqref>A1:X40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4" sqref="D1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54.4414062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D1" s="1" t="s">
        <v>177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ht="70.8" customHeight="1" x14ac:dyDescent="0.3">
      <c r="A5" s="6">
        <v>3</v>
      </c>
      <c r="B5" s="2" t="s">
        <v>104</v>
      </c>
      <c r="C5" s="34">
        <f>SUMIF(Dataset!H1:H40, "&gt;20", Dataset!H1:H40)</f>
        <v>1473.0000000000002</v>
      </c>
      <c r="D5" s="1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D34" sqref="D3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 Dataset!A1:X40, 7, FALSE)</f>
        <v>2.7</v>
      </c>
      <c r="C6" s="12">
        <f>VLOOKUP(A6, Dataset!A1:X40, 14, FALSE)</f>
        <v>7.6</v>
      </c>
      <c r="D6" s="12">
        <f>VLOOKUP(A6, Dataset!A1:X40, 18, FALSE)</f>
        <v>4.2</v>
      </c>
      <c r="E6" s="12">
        <f>VLOOKUP(A6, Dataset!A1:X40, 20, FALSE)</f>
        <v>8.9</v>
      </c>
      <c r="F6" s="8">
        <f>VLOOKUP(A6, Dataset!A1:X40, 22, FALSE)</f>
        <v>4.2</v>
      </c>
    </row>
    <row r="7" spans="1:7" ht="14.4" x14ac:dyDescent="0.3">
      <c r="A7" s="7" t="s">
        <v>4</v>
      </c>
      <c r="B7" s="12">
        <f>VLOOKUP(A7, Dataset!A2:X41, 7, FALSE)</f>
        <v>2.7</v>
      </c>
      <c r="C7" s="12">
        <f>VLOOKUP(A7, Dataset!A2:X41, 14, FALSE)</f>
        <v>7.6</v>
      </c>
      <c r="D7" s="12">
        <f>VLOOKUP(A7, Dataset!A2:X41, 18, FALSE)</f>
        <v>4.2</v>
      </c>
      <c r="E7" s="12">
        <f>VLOOKUP(A7, Dataset!A2:X41, 20, FALSE)</f>
        <v>8.9</v>
      </c>
      <c r="F7" s="8">
        <f>VLOOKUP(A7, Dataset!A2:X41, 22, FALSE)</f>
        <v>4.2</v>
      </c>
    </row>
    <row r="8" spans="1:7" ht="14.4" x14ac:dyDescent="0.3">
      <c r="A8" s="7" t="s">
        <v>7</v>
      </c>
      <c r="B8" s="12">
        <f>VLOOKUP(A8, Dataset!A3:X42, 7, FALSE)</f>
        <v>3.6</v>
      </c>
      <c r="C8" s="12">
        <f>VLOOKUP(A8, Dataset!A3:X42, 14, FALSE)</f>
        <v>11.1</v>
      </c>
      <c r="D8" s="12">
        <f>VLOOKUP(A8, Dataset!A3:X42, 18, FALSE)</f>
        <v>5.8</v>
      </c>
      <c r="E8" s="12">
        <f>VLOOKUP(A8, Dataset!A3:X42, 20, FALSE)</f>
        <v>12.2</v>
      </c>
      <c r="F8" s="8">
        <f>VLOOKUP(A8, Dataset!A3:X42, 22, FALSE)</f>
        <v>5.8</v>
      </c>
    </row>
    <row r="9" spans="1:7" ht="14.4" x14ac:dyDescent="0.3">
      <c r="A9" s="7" t="s">
        <v>8</v>
      </c>
      <c r="B9" s="12">
        <f>VLOOKUP(A9, Dataset!A4:X43, 7, FALSE)</f>
        <v>4.9000000000000004</v>
      </c>
      <c r="C9" s="12">
        <f>VLOOKUP(A9, Dataset!A4:X43, 14, FALSE)</f>
        <v>13.3</v>
      </c>
      <c r="D9" s="12">
        <f>VLOOKUP(A9, Dataset!A4:X43, 18, FALSE)</f>
        <v>8.1</v>
      </c>
      <c r="E9" s="12">
        <f>VLOOKUP(A9, Dataset!A4:X43, 20, FALSE)</f>
        <v>17</v>
      </c>
      <c r="F9" s="8">
        <f>VLOOKUP(A9, Dataset!A4:X43, 22, FALSE)</f>
        <v>8.1</v>
      </c>
    </row>
    <row r="10" spans="1:7" ht="14.4" x14ac:dyDescent="0.3">
      <c r="A10" s="7" t="s">
        <v>11</v>
      </c>
      <c r="B10" s="12">
        <f>VLOOKUP(A10, Dataset!A5:X44, 7, FALSE)</f>
        <v>9.4</v>
      </c>
      <c r="C10" s="12">
        <f>VLOOKUP(A10, Dataset!A5:X44, 14, FALSE)</f>
        <v>28.3</v>
      </c>
      <c r="D10" s="12">
        <f>VLOOKUP(A10, Dataset!A5:X44, 18, FALSE)</f>
        <v>16.100000000000001</v>
      </c>
      <c r="E10" s="12">
        <f>VLOOKUP(A10, Dataset!A5:X44, 20, FALSE)</f>
        <v>32.799999999999997</v>
      </c>
      <c r="F10" s="8">
        <f>VLOOKUP(A10, Dataset!A5:X44, 22, FALSE)</f>
        <v>16.100000000000001</v>
      </c>
    </row>
    <row r="11" spans="1:7" ht="14.4" x14ac:dyDescent="0.3">
      <c r="A11" s="7" t="s">
        <v>12</v>
      </c>
      <c r="B11" s="12">
        <f>VLOOKUP(A11, Dataset!A6:X45, 7, FALSE)</f>
        <v>11.6</v>
      </c>
      <c r="C11" s="12">
        <f>VLOOKUP(A11, Dataset!A6:X45, 14, FALSE)</f>
        <v>35.200000000000003</v>
      </c>
      <c r="D11" s="12">
        <f>VLOOKUP(A11, Dataset!A6:X45, 18, FALSE)</f>
        <v>21.3</v>
      </c>
      <c r="E11" s="12">
        <f>VLOOKUP(A11, Dataset!A6:X45, 20, FALSE)</f>
        <v>43</v>
      </c>
      <c r="F11" s="8">
        <f>VLOOKUP(A11, Dataset!A6:X45, 22, FALSE)</f>
        <v>21.3</v>
      </c>
    </row>
    <row r="12" spans="1:7" ht="14.4" x14ac:dyDescent="0.3">
      <c r="A12" s="7" t="s">
        <v>14</v>
      </c>
      <c r="B12" s="12">
        <f>VLOOKUP(A12, Dataset!A7:X46, 7, FALSE)</f>
        <v>18.399999999999999</v>
      </c>
      <c r="C12" s="12">
        <f>VLOOKUP(A12, Dataset!A7:X46, 14, FALSE)</f>
        <v>55.6</v>
      </c>
      <c r="D12" s="12">
        <f>VLOOKUP(A12, Dataset!A7:X46, 18, FALSE)</f>
        <v>33.799999999999997</v>
      </c>
      <c r="E12" s="12">
        <f>VLOOKUP(A12, Dataset!A7:X46, 20, FALSE)</f>
        <v>67.900000000000006</v>
      </c>
      <c r="F12" s="8">
        <f>VLOOKUP(A12, Dataset!A7:X46, 22, FALSE)</f>
        <v>33.799999999999997</v>
      </c>
    </row>
    <row r="13" spans="1:7" ht="14.4" x14ac:dyDescent="0.3">
      <c r="A13" s="7" t="s">
        <v>15</v>
      </c>
      <c r="B13" s="12">
        <f>VLOOKUP(A13, Dataset!A8:X47, 7, FALSE)</f>
        <v>0</v>
      </c>
      <c r="C13" s="12">
        <f>VLOOKUP(A13, Dataset!A8:X47, 14, FALSE)</f>
        <v>0</v>
      </c>
      <c r="D13" s="12">
        <f>VLOOKUP(A13, Dataset!A8:X47, 18, FALSE)</f>
        <v>0</v>
      </c>
      <c r="E13" s="12">
        <f>VLOOKUP(A13, Dataset!A8:X47, 20, FALSE)</f>
        <v>0</v>
      </c>
      <c r="F13" s="8">
        <f>VLOOKUP(A13, Dataset!A8:X47, 22, FALSE)</f>
        <v>0</v>
      </c>
    </row>
    <row r="14" spans="1:7" ht="14.4" x14ac:dyDescent="0.3">
      <c r="A14" s="7" t="s">
        <v>16</v>
      </c>
      <c r="B14" s="12">
        <f>VLOOKUP(A14, Dataset!A9:X48, 7, FALSE)</f>
        <v>21.9</v>
      </c>
      <c r="C14" s="12">
        <f>VLOOKUP(A14, Dataset!A9:X48, 14, FALSE)</f>
        <v>61.5</v>
      </c>
      <c r="D14" s="12">
        <f>VLOOKUP(A14, Dataset!A9:X48, 18, FALSE)</f>
        <v>40.1</v>
      </c>
      <c r="E14" s="12">
        <f>VLOOKUP(A14, Dataset!A9:X48, 20, FALSE)</f>
        <v>76.599999999999994</v>
      </c>
      <c r="F14" s="8">
        <f>VLOOKUP(A14, Dataset!A9:X48, 22, FALSE)</f>
        <v>40.1</v>
      </c>
    </row>
    <row r="15" spans="1:7" ht="14.4" x14ac:dyDescent="0.3">
      <c r="A15" s="7" t="s">
        <v>18</v>
      </c>
      <c r="B15" s="12">
        <f>VLOOKUP(A15, Dataset!A10:X49, 7, FALSE)</f>
        <v>26.8</v>
      </c>
      <c r="C15" s="12">
        <f>VLOOKUP(A15, Dataset!A10:X49, 14, FALSE)</f>
        <v>79.599999999999994</v>
      </c>
      <c r="D15" s="12">
        <f>VLOOKUP(A15, Dataset!A10:X49, 18, FALSE)</f>
        <v>47.9</v>
      </c>
      <c r="E15" s="12">
        <f>VLOOKUP(A15, Dataset!A10:X49, 20, FALSE)</f>
        <v>96.8</v>
      </c>
      <c r="F15" s="8">
        <f>VLOOKUP(A15, Dataset!A10:X49, 22, FALSE)</f>
        <v>47.9</v>
      </c>
    </row>
    <row r="16" spans="1:7" ht="14.4" x14ac:dyDescent="0.3">
      <c r="A16" s="7" t="s">
        <v>20</v>
      </c>
      <c r="B16" s="12">
        <f>VLOOKUP(A16, Dataset!A11:X50, 7, FALSE)</f>
        <v>28.5</v>
      </c>
      <c r="C16" s="12">
        <f>VLOOKUP(A16, Dataset!A11:X50, 14, FALSE)</f>
        <v>85.4</v>
      </c>
      <c r="D16" s="12">
        <f>VLOOKUP(A16, Dataset!A11:X50, 18, FALSE)</f>
        <v>52.3</v>
      </c>
      <c r="E16" s="12">
        <f>VLOOKUP(A16, Dataset!A11:X50, 20, FALSE)</f>
        <v>106.1</v>
      </c>
      <c r="F16" s="8">
        <f>VLOOKUP(A16, Dataset!A11:X50, 22, FALSE)</f>
        <v>52.3</v>
      </c>
    </row>
    <row r="17" spans="1:6" ht="14.4" x14ac:dyDescent="0.3">
      <c r="A17" s="7" t="s">
        <v>22</v>
      </c>
      <c r="B17" s="12">
        <f>VLOOKUP(A17, Dataset!A12:X51, 7, FALSE)</f>
        <v>30.7</v>
      </c>
      <c r="C17" s="12">
        <f>VLOOKUP(A17, Dataset!A12:X51, 14, FALSE)</f>
        <v>92.1</v>
      </c>
      <c r="D17" s="12">
        <f>VLOOKUP(A17, Dataset!A12:X51, 18, FALSE)</f>
        <v>57</v>
      </c>
      <c r="E17" s="12">
        <f>VLOOKUP(A17, Dataset!A12:X51, 20, FALSE)</f>
        <v>115.1</v>
      </c>
      <c r="F17" s="8">
        <f>VLOOKUP(A17, Dataset!A12:X51, 22, FALSE)</f>
        <v>57</v>
      </c>
    </row>
    <row r="18" spans="1:6" ht="14.4" x14ac:dyDescent="0.3">
      <c r="A18" s="7" t="s">
        <v>23</v>
      </c>
      <c r="B18" s="12">
        <f>VLOOKUP(A18, Dataset!A13:X52, 7, FALSE)</f>
        <v>33.799999999999997</v>
      </c>
      <c r="C18" s="12">
        <f>VLOOKUP(A18, Dataset!A13:X52, 14, FALSE)</f>
        <v>101.3</v>
      </c>
      <c r="D18" s="12">
        <f>VLOOKUP(A18, Dataset!A13:X52, 18, FALSE)</f>
        <v>61.4</v>
      </c>
      <c r="E18" s="12">
        <f>VLOOKUP(A18, Dataset!A13:X52, 20, FALSE)</f>
        <v>124.4</v>
      </c>
      <c r="F18" s="8">
        <f>VLOOKUP(A18, Dataset!A13:X52, 22, FALSE)</f>
        <v>61.4</v>
      </c>
    </row>
    <row r="19" spans="1:6" ht="14.4" x14ac:dyDescent="0.3">
      <c r="A19" s="7" t="s">
        <v>24</v>
      </c>
      <c r="B19" s="12">
        <f>VLOOKUP(A19, Dataset!A14:X53, 7, FALSE)</f>
        <v>34.700000000000003</v>
      </c>
      <c r="C19" s="12">
        <f>VLOOKUP(A19, Dataset!A14:X53, 14, FALSE)</f>
        <v>106.1</v>
      </c>
      <c r="D19" s="12">
        <f>VLOOKUP(A19, Dataset!A14:X53, 18, FALSE)</f>
        <v>63.6</v>
      </c>
      <c r="E19" s="12">
        <f>VLOOKUP(A19, Dataset!A14:X53, 20, FALSE)</f>
        <v>128.6</v>
      </c>
      <c r="F19" s="8">
        <f>VLOOKUP(A19, Dataset!A14:X53, 22, FALSE)</f>
        <v>63.6</v>
      </c>
    </row>
    <row r="20" spans="1:6" ht="14.4" x14ac:dyDescent="0.3">
      <c r="A20" s="7" t="s">
        <v>28</v>
      </c>
      <c r="B20" s="12">
        <f>VLOOKUP(A20, Dataset!A15:X54, 7, FALSE)</f>
        <v>0</v>
      </c>
      <c r="C20" s="12">
        <f>VLOOKUP(A20, Dataset!A15:X54, 14, FALSE)</f>
        <v>0</v>
      </c>
      <c r="D20" s="12">
        <f>VLOOKUP(A20, Dataset!A15:X54, 18, FALSE)</f>
        <v>0</v>
      </c>
      <c r="E20" s="12">
        <f>VLOOKUP(A20, Dataset!A15:X54, 20, FALSE)</f>
        <v>0</v>
      </c>
      <c r="F20" s="8">
        <f>VLOOKUP(A20, Dataset!A15:X54, 22, FALSE)</f>
        <v>0</v>
      </c>
    </row>
    <row r="21" spans="1:6" ht="14.4" x14ac:dyDescent="0.3">
      <c r="A21" s="7" t="s">
        <v>57</v>
      </c>
      <c r="B21" s="12">
        <f>VLOOKUP(A21, Dataset!A16:X55, 7, FALSE)</f>
        <v>41.3</v>
      </c>
      <c r="C21" s="12">
        <f>VLOOKUP(A21, Dataset!A16:X55, 14, FALSE)</f>
        <v>124.4</v>
      </c>
      <c r="D21" s="12">
        <f>VLOOKUP(A21, Dataset!A16:X55, 18, FALSE)</f>
        <v>75</v>
      </c>
      <c r="E21" s="12">
        <f>VLOOKUP(A21, Dataset!A16:X55, 20, FALSE)</f>
        <v>151.5</v>
      </c>
      <c r="F21" s="8">
        <f>VLOOKUP(A21, Dataset!A16:X55, 22, FALSE)</f>
        <v>75</v>
      </c>
    </row>
    <row r="22" spans="1:6" ht="14.4" x14ac:dyDescent="0.3">
      <c r="A22" s="7" t="s">
        <v>58</v>
      </c>
      <c r="B22" s="12">
        <f>VLOOKUP(A22, Dataset!A17:X56, 7, FALSE)</f>
        <v>-1</v>
      </c>
      <c r="C22" s="12">
        <f>VLOOKUP(A22, Dataset!A17:X56, 14, FALSE)</f>
        <v>-1</v>
      </c>
      <c r="D22" s="12">
        <f>VLOOKUP(A22, Dataset!A17:X56, 18, FALSE)</f>
        <v>-1</v>
      </c>
      <c r="E22" s="12">
        <f>VLOOKUP(A22, Dataset!A17:X56, 20, FALSE)</f>
        <v>-1</v>
      </c>
      <c r="F22" s="8">
        <f>VLOOKUP(A22, Dataset!A17:X56, 22, FALSE)</f>
        <v>-1</v>
      </c>
    </row>
    <row r="23" spans="1:6" ht="14.4" x14ac:dyDescent="0.3">
      <c r="A23" s="7" t="s">
        <v>31</v>
      </c>
      <c r="B23" s="12">
        <f>VLOOKUP(A23, Dataset!A18:X57, 7, FALSE)</f>
        <v>45</v>
      </c>
      <c r="C23" s="12">
        <f>VLOOKUP(A23, Dataset!A18:X57, 14, FALSE)</f>
        <v>133.4</v>
      </c>
      <c r="D23" s="12">
        <f>VLOOKUP(A23, Dataset!A18:X57, 18, FALSE)</f>
        <v>79.400000000000006</v>
      </c>
      <c r="E23" s="12">
        <f>VLOOKUP(A23, Dataset!A18:X57, 20, FALSE)</f>
        <v>160.9</v>
      </c>
      <c r="F23" s="8">
        <f>VLOOKUP(A23, Dataset!A18:X57, 22, FALSE)</f>
        <v>79.400000000000006</v>
      </c>
    </row>
    <row r="24" spans="1:6" ht="14.4" x14ac:dyDescent="0.3">
      <c r="A24" s="7" t="s">
        <v>32</v>
      </c>
      <c r="B24" s="12">
        <f>VLOOKUP(A24, Dataset!A19:X58, 7, FALSE)</f>
        <v>-1</v>
      </c>
      <c r="C24" s="12">
        <f>VLOOKUP(A24, Dataset!A19:X58, 14, FALSE)</f>
        <v>-1</v>
      </c>
      <c r="D24" s="12">
        <f>VLOOKUP(A24, Dataset!A19:X58, 18, FALSE)</f>
        <v>-1</v>
      </c>
      <c r="E24" s="12">
        <f>VLOOKUP(A24, Dataset!A19:X58, 20, FALSE)</f>
        <v>-1</v>
      </c>
      <c r="F24" s="8">
        <f>VLOOKUP(A24, Dataset!A19:X58, 22, FALSE)</f>
        <v>-1</v>
      </c>
    </row>
    <row r="25" spans="1:6" ht="14.4" x14ac:dyDescent="0.3">
      <c r="A25" s="7" t="s">
        <v>34</v>
      </c>
      <c r="B25" s="12">
        <f>VLOOKUP(A25, Dataset!A20:X59, 7, FALSE)</f>
        <v>43.3</v>
      </c>
      <c r="C25" s="12">
        <f>VLOOKUP(A25, Dataset!A20:X59, 14, FALSE)</f>
        <v>128.6</v>
      </c>
      <c r="D25" s="12">
        <f>VLOOKUP(A25, Dataset!A20:X59, 18, FALSE)</f>
        <v>79.400000000000006</v>
      </c>
      <c r="E25" s="12">
        <f>VLOOKUP(A25, Dataset!A20:X59, 20, FALSE)</f>
        <v>160.9</v>
      </c>
      <c r="F25" s="8">
        <f>VLOOKUP(A25, Dataset!A20:X59, 22, FALSE)</f>
        <v>79.400000000000006</v>
      </c>
    </row>
    <row r="26" spans="1:6" ht="14.4" x14ac:dyDescent="0.3">
      <c r="A26" s="7" t="s">
        <v>37</v>
      </c>
      <c r="B26" s="12">
        <f>VLOOKUP(A26, Dataset!A21:X60, 7, FALSE)</f>
        <v>49.1</v>
      </c>
      <c r="C26" s="12">
        <f>VLOOKUP(A26, Dataset!A21:X60, 14, FALSE)</f>
        <v>146.80000000000001</v>
      </c>
      <c r="D26" s="12">
        <f>VLOOKUP(A26, Dataset!A21:X60, 18, FALSE)</f>
        <v>90.9</v>
      </c>
      <c r="E26" s="12">
        <f>VLOOKUP(A26, Dataset!A21:X60, 20, FALSE)</f>
        <v>183.5</v>
      </c>
      <c r="F26" s="8">
        <f>VLOOKUP(A26, Dataset!A21:X60, 22, FALSE)</f>
        <v>90.9</v>
      </c>
    </row>
    <row r="27" spans="1:6" ht="14.4" x14ac:dyDescent="0.3">
      <c r="A27" s="7" t="s">
        <v>39</v>
      </c>
      <c r="B27" s="12">
        <f>VLOOKUP(A27, Dataset!A22:X61, 7, FALSE)</f>
        <v>51.8</v>
      </c>
      <c r="C27" s="12">
        <f>VLOOKUP(A27, Dataset!A22:X61, 14, FALSE)</f>
        <v>156.4</v>
      </c>
      <c r="D27" s="12">
        <f>VLOOKUP(A27, Dataset!A22:X61, 18, FALSE)</f>
        <v>93.1</v>
      </c>
      <c r="E27" s="12">
        <f>VLOOKUP(A27, Dataset!A22:X61, 20, FALSE)</f>
        <v>188.1</v>
      </c>
      <c r="F27" s="8">
        <f>VLOOKUP(A27, Dataset!A22:X61, 22, 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0">MAX(C6:C27)</f>
        <v>156.4</v>
      </c>
      <c r="D29" s="31">
        <f t="shared" si="0"/>
        <v>93.1</v>
      </c>
      <c r="E29" s="31">
        <f t="shared" si="0"/>
        <v>188.1</v>
      </c>
      <c r="F29" s="31">
        <f t="shared" si="0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1">AVERAGE(C6:C27)</f>
        <v>62.377272727272725</v>
      </c>
      <c r="D30" s="31">
        <f t="shared" si="1"/>
        <v>37.800000000000004</v>
      </c>
      <c r="E30" s="31">
        <f t="shared" si="1"/>
        <v>76.418181818181822</v>
      </c>
      <c r="F30" s="31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Z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26" s="41" customFormat="1" ht="21" x14ac:dyDescent="0.4">
      <c r="A1" s="42" t="s">
        <v>56</v>
      </c>
      <c r="B1" s="41" t="s">
        <v>174</v>
      </c>
    </row>
    <row r="2" spans="1:26" customFormat="1" ht="13.2" x14ac:dyDescent="0.25"/>
    <row r="3" spans="1:26" s="2" customFormat="1" x14ac:dyDescent="0.3">
      <c r="B3" s="1"/>
    </row>
    <row r="4" spans="1:26" s="2" customFormat="1" x14ac:dyDescent="0.3">
      <c r="B4" s="1" t="s">
        <v>151</v>
      </c>
    </row>
    <row r="5" spans="1:26" ht="18" x14ac:dyDescent="0.35">
      <c r="A5" s="43" t="s">
        <v>53</v>
      </c>
      <c r="B5" s="40" t="s">
        <v>179</v>
      </c>
    </row>
    <row r="6" spans="1:26" ht="18" x14ac:dyDescent="0.35">
      <c r="A6" s="43" t="s">
        <v>153</v>
      </c>
      <c r="B6" s="48" t="s">
        <v>180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8" x14ac:dyDescent="0.35">
      <c r="A7" s="43"/>
      <c r="B7" s="40"/>
    </row>
    <row r="9" spans="1:26" ht="23.4" x14ac:dyDescent="0.45">
      <c r="A9" s="18" t="s">
        <v>165</v>
      </c>
      <c r="I9" s="2"/>
      <c r="J9" s="2"/>
    </row>
    <row r="10" spans="1:26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26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26" ht="23.4" x14ac:dyDescent="0.45">
      <c r="A14" s="18" t="s">
        <v>162</v>
      </c>
    </row>
    <row r="15" spans="1:26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26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1">
    <mergeCell ref="B6:Z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N22"/>
  <sheetViews>
    <sheetView topLeftCell="A10" zoomScaleNormal="100" workbookViewId="0">
      <selection activeCell="F19" sqref="F1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4" ht="21" x14ac:dyDescent="0.4">
      <c r="A1" s="42" t="s">
        <v>85</v>
      </c>
      <c r="B1" s="41" t="s">
        <v>167</v>
      </c>
    </row>
    <row r="2" spans="1:14" ht="18" x14ac:dyDescent="0.35">
      <c r="B2" s="40" t="s">
        <v>166</v>
      </c>
    </row>
    <row r="5" spans="1:14" ht="14.4" x14ac:dyDescent="0.3">
      <c r="B5" s="1" t="s">
        <v>151</v>
      </c>
    </row>
    <row r="6" spans="1:14" ht="28.8" x14ac:dyDescent="0.3">
      <c r="A6" s="3" t="s">
        <v>53</v>
      </c>
      <c r="B6" s="50" t="s">
        <v>182</v>
      </c>
    </row>
    <row r="7" spans="1:14" ht="14.4" x14ac:dyDescent="0.3">
      <c r="A7" s="3" t="s">
        <v>153</v>
      </c>
      <c r="B7" s="49" t="s">
        <v>181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</row>
    <row r="10" spans="1:14" ht="23.4" x14ac:dyDescent="0.45">
      <c r="A10" s="18" t="s">
        <v>162</v>
      </c>
    </row>
    <row r="11" spans="1:14" ht="14.4" x14ac:dyDescent="0.3">
      <c r="A11" s="32" t="s">
        <v>86</v>
      </c>
      <c r="B11" s="17" t="s">
        <v>87</v>
      </c>
      <c r="C11" s="17" t="s">
        <v>88</v>
      </c>
    </row>
    <row r="12" spans="1:14" ht="14.4" x14ac:dyDescent="0.3">
      <c r="A12" s="32">
        <v>44927</v>
      </c>
      <c r="B12" s="17" t="s">
        <v>59</v>
      </c>
      <c r="C12" s="17">
        <v>200</v>
      </c>
    </row>
    <row r="13" spans="1:14" ht="14.4" x14ac:dyDescent="0.3">
      <c r="A13" s="32">
        <v>44928</v>
      </c>
      <c r="B13" s="17" t="s">
        <v>60</v>
      </c>
      <c r="C13" s="17">
        <v>20</v>
      </c>
    </row>
    <row r="14" spans="1:14" ht="14.4" x14ac:dyDescent="0.3">
      <c r="A14" s="32">
        <v>44929</v>
      </c>
      <c r="B14" s="17" t="s">
        <v>61</v>
      </c>
      <c r="C14" s="17">
        <v>50</v>
      </c>
    </row>
    <row r="15" spans="1:14" ht="14.4" x14ac:dyDescent="0.3">
      <c r="A15" s="32">
        <v>44930</v>
      </c>
      <c r="B15" s="17" t="s">
        <v>62</v>
      </c>
      <c r="C15" s="17">
        <v>20</v>
      </c>
    </row>
    <row r="16" spans="1:14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mergeCells count="1">
    <mergeCell ref="B7:N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pratik chougule</cp:lastModifiedBy>
  <dcterms:created xsi:type="dcterms:W3CDTF">2015-02-10T17:33:11Z</dcterms:created>
  <dcterms:modified xsi:type="dcterms:W3CDTF">2023-12-10T17:50:09Z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996aa419-e3f5-4149-b8e9-dbcf57f39d41</vt:lpwstr>
  </property>
</Properties>
</file>