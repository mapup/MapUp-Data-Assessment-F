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Assessment\MapUp-Data-Assessment-F\"/>
    </mc:Choice>
  </mc:AlternateContent>
  <xr:revisionPtr revIDLastSave="0" documentId="13_ncr:1_{A543D877-C5E8-4B73-B83F-F0B18B1C0969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2" i="19" a="1"/>
  <c r="C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5" i="15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8" i="18" l="1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B9" i="18" l="1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8" i="18"/>
  <c r="B7" i="18"/>
  <c r="C6" i="18"/>
  <c r="D6" i="18"/>
  <c r="E6" i="18"/>
  <c r="F6" i="18"/>
  <c r="B6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<sst xmlns="http://schemas.openxmlformats.org/spreadsheetml/2006/main" count="405" uniqueCount="183">
  <si>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</si>
  <si>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</si>
  <si>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</si>
  <si>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</si>
  <si>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</si>
  <si>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</si>
  <si>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</si>
  <si>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</si>
  <si>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</si>
  <si>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</si>
  <si>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</si>
  <si>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</si>
  <si>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</si>
  <si>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</si>
  <si>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</si>
  <si>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</si>
  <si>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</si>
  <si>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</si>
  <si>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</si>
  <si>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</si>
  <si>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</si>
  <si>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</si>
  <si>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</si>
  <si>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</si>
  <si>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</si>
  <si>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</si>
  <si>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</si>
  <si>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</si>
  <si>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</si>
  <si>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</si>
  <si>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</si>
  <si>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</si>
  <si>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</si>
  <si>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</si>
  <si>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</si>
  <si>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</si>
  <si>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</si>
  <si>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</si>
  <si>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</si>
  <si>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</si>
  <si>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</si>
  <si>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</si>
  <si>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</si>
  <si>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</si>
  <si>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</si>
  <si>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</si>
  <si>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</si>
  <si>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</si>
  <si>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</si>
  <si>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</si>
  <si>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</si>
  <si>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</si>
  <si>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</si>
  <si>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</si>
  <si>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</si>
  <si>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</si>
  <si>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</si>
  <si>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</si>
  <si>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</si>
  <si>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</si>
  <si>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</si>
  <si>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</si>
  <si>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</si>
  <si>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</si>
  <si>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</si>
  <si>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</si>
  <si>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</si>
  <si>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</si>
  <si>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</si>
  <si>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</si>
  <si>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</si>
  <si>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</si>
  <si>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</si>
  <si>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</si>
  <si>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</si>
  <si>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</si>
  <si>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</si>
  <si>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</si>
  <si>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</si>
  <si>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</si>
  <si>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</si>
  <si>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</si>
  <si>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</si>
  <si>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</si>
  <si>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</si>
  <si>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</si>
  <si>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</si>
  <si>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</si>
  <si>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</si>
  <si>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</si>
  <si>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</si>
  <si>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</si>
  <si>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</si>
  <si>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</si>
  <si>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</si>
  <si>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</si>
  <si>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</si>
  <si>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</si>
  <si>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</si>
  <si>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</si>
  <si>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</si>
  <si>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</si>
  <si>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</si>
  <si>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</si>
  <si>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</si>
  <si>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</si>
  <si>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</si>
  <si>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</si>
  <si>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</si>
  <si>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</si>
  <si>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</si>
  <si>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</si>
  <si>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</si>
  <si>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</si>
  <si>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</si>
  <si>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</si>
  <si>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</si>
  <si>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</si>
  <si>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</si>
  <si>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</si>
  <si>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</si>
  <si>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</si>
  <si>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</si>
  <si>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</si>
  <si>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</si>
  <si>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</si>
  <si>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</si>
  <si>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</si>
  <si>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</si>
  <si>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</si>
  <si>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</si>
  <si>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</si>
  <si>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</si>
  <si>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</si>
  <si>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</si>
  <si>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</si>
  <si>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</si>
  <si>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</si>
  <si>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</si>
  <si>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</si>
  <si>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</si>
  <si>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</si>
  <si>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</si>
  <si>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</si>
  <si>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</si>
  <si>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</si>
  <si>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</si>
  <si>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</si>
  <si>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</si>
  <si>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</si>
  <si>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</si>
  <si>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</si>
  <si>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</si>
  <si>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</si>
  <si>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</si>
  <si>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</si>
  <si>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</si>
  <si>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</si>
  <si>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</si>
  <si>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</si>
  <si>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</si>
  <si>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</si>
  <si>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</si>
  <si>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</si>
  <si>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</si>
  <si>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</si>
  <si>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</si>
  <si>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</si>
  <si>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</si>
  <si>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</si>
  <si>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</si>
  <si>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</si>
  <si>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</si>
  <si>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</si>
  <si>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</si>
  <si>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</si>
  <si>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</si>
  <si>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&amp; IFERROR</t>
  </si>
  <si>
    <r>
      <t xml:space="preserve">Formula/Functionality used: </t>
    </r>
    <r>
      <rPr>
        <sz val="14"/>
        <color rgb="FF000000"/>
        <rFont val="Calibri"/>
        <family val="2"/>
        <scheme val="minor"/>
      </rPr>
      <t>INDEX-MATCH WITH VLOOKUP, ABSOLUTE VALUES</t>
    </r>
  </si>
  <si>
    <t>Text to Columns (Built-in functionality)</t>
  </si>
  <si>
    <t>Select the cell you want to split- Go to Data tab in Data tools- Click in text to columns - Delimited option- Next- Delimiters(Others[-])- Destination(Cell reference where you want to split the values)- Finish</t>
  </si>
  <si>
    <t>Calculate the sum of range of cell along with Handling Errors. IFERROR(C12:C21, 20) - Checks each cell from C12:C21 for an error. If there is an error the function returns the specified value i.e. 20 else original value. =SUM(IFERROR(C12:C21, 20)) - It wraps up the IFERROR FUNCTION&amp; adds up all te values with the modifies range. All in all, It's a way of handling errors in a sum calculation by replacing them with a specified value before performing the summation.</t>
  </si>
  <si>
    <t>VLOOKUP(A23, $M$9:$N$18, 2, 0): Finds a value in column M based on the value in cell A23. MATCH(..., $A$10:$A$18, 0): Finds the row number where the above value is in column A. VLOOKUP(B23, $M$9:$N$18, 2, 0): Finds a value in column M based on the value in cell B23. MATCH(..., $B$9:$J$9, 0): Finds the column number where the above value is in row 9. INDEX($B$10:$J$18, ..., ...): Returns the value at the intersection of the row and column found in steps 2 and 4. The entire formula is looking up and giving a value from the range $B$10:$J$18 based on two criteria: the value in cell A23 and the value in cell B23. The INDEX, MATCH, and VLOOKUP functions work together to locate the desired value in a two-dimensional array.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</si>
</sst>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3" xfId="0" quotePrefix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16" activePane="bottomLeft" state="frozen"/>
      <selection pane="bottomLeft" activeCell="X1" sqref="X1:X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4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SUMIF(Dataset!H2:H40, "&gt;20", Dataset!H2:H40)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23" sqref="D2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DGET(Dataset!$A$1:$X$40, Task_2!B5,Task_2!$A$5:$A$6)</f>
        <v>2.7</v>
      </c>
      <c r="C6" s="11">
        <f>DGET(Dataset!$A$1:$X$40, Task_2!C5,Task_2!$A$5:$A$6)</f>
        <v>7.6</v>
      </c>
      <c r="D6" s="11">
        <f>DGET(Dataset!$A$1:$X$40, Task_2!D5,Task_2!$A$5:$A$6)</f>
        <v>4.2</v>
      </c>
      <c r="E6" s="11">
        <f>DGET(Dataset!$A$1:$X$40, Task_2!E5,Task_2!$A$5:$A$6)</f>
        <v>8.9</v>
      </c>
      <c r="F6" s="11">
        <f>DGET(Dataset!$A$1:$X$40, Task_2!F5,Task_2!$A$5:$A$6)</f>
        <v>4.2</v>
      </c>
    </row>
    <row r="7" spans="1:7" ht="14.4" x14ac:dyDescent="0.3">
      <c r="A7" s="7" t="s">
        <v>4</v>
      </c>
      <c r="B7" s="11">
        <f>_xlfn.XLOOKUP(Task_2!A7, Dataset!$A:$A, Dataset!G:G,"",0 )</f>
        <v>2.7</v>
      </c>
      <c r="C7" s="11">
        <f>_xlfn.XLOOKUP(Task_2!A7, Dataset!$A:$A, Dataset!N:N,"",0 )</f>
        <v>7.6</v>
      </c>
      <c r="D7" s="11">
        <f>_xlfn.XLOOKUP(Task_2!A7,Dataset!$A:$A,Dataset!R:R,"",0 )</f>
        <v>4.2</v>
      </c>
      <c r="E7" s="11">
        <f>_xlfn.XLOOKUP(Task_2!A7, Dataset!$A:$A, Dataset!S:S,"",0 )</f>
        <v>7.6</v>
      </c>
      <c r="F7" s="11">
        <f>_xlfn.XLOOKUP(A7,Dataset!$A:$A, Dataset!V:V, "", 0)</f>
        <v>4.2</v>
      </c>
    </row>
    <row r="8" spans="1:7" ht="14.4" x14ac:dyDescent="0.3">
      <c r="A8" s="7" t="s">
        <v>7</v>
      </c>
      <c r="B8" s="11">
        <f>_xlfn.XLOOKUP(Task_2!A8, Dataset!$A:$A, Dataset!G:G,"",0 )</f>
        <v>3.6</v>
      </c>
      <c r="C8" s="11">
        <f>_xlfn.XLOOKUP(Task_2!A8, Dataset!$A:$A, Dataset!N:N,"",0 )</f>
        <v>11.1</v>
      </c>
      <c r="D8" s="11">
        <f>_xlfn.XLOOKUP(Task_2!A8,Dataset!$A:$A,Dataset!R:R,"",0 )</f>
        <v>5.8</v>
      </c>
      <c r="E8" s="11">
        <f>_xlfn.XLOOKUP(Task_2!A8, Dataset!$A:$A, Dataset!S:S,"",0 )</f>
        <v>11.1</v>
      </c>
      <c r="F8" s="11">
        <f>_xlfn.XLOOKUP(A8,Dataset!$A:$A, Dataset!V:V, "", 0)</f>
        <v>5.8</v>
      </c>
    </row>
    <row r="9" spans="1:7" ht="14.4" x14ac:dyDescent="0.3">
      <c r="A9" s="7" t="s">
        <v>8</v>
      </c>
      <c r="B9" s="11">
        <f>_xlfn.XLOOKUP(Task_2!A9, Dataset!$A:$A, Dataset!G:G,"",0 )</f>
        <v>4.9000000000000004</v>
      </c>
      <c r="C9" s="11">
        <f>_xlfn.XLOOKUP(Task_2!A9, Dataset!$A:$A, Dataset!N:N,"",0 )</f>
        <v>13.3</v>
      </c>
      <c r="D9" s="11">
        <f>_xlfn.XLOOKUP(Task_2!A9,Dataset!$A:$A,Dataset!R:R,"",0 )</f>
        <v>8.1</v>
      </c>
      <c r="E9" s="11">
        <f>_xlfn.XLOOKUP(Task_2!A9, Dataset!$A:$A, Dataset!S:S,"",0 )</f>
        <v>13.3</v>
      </c>
      <c r="F9" s="11">
        <f>_xlfn.XLOOKUP(A9,Dataset!$A:$A, Dataset!V:V, "", 0)</f>
        <v>8.1</v>
      </c>
    </row>
    <row r="10" spans="1:7" ht="14.4" x14ac:dyDescent="0.3">
      <c r="A10" s="7" t="s">
        <v>11</v>
      </c>
      <c r="B10" s="11">
        <f>_xlfn.XLOOKUP(Task_2!A10, Dataset!$A:$A, Dataset!G:G,"",0 )</f>
        <v>9.4</v>
      </c>
      <c r="C10" s="11">
        <f>_xlfn.XLOOKUP(Task_2!A10, Dataset!$A:$A, Dataset!N:N,"",0 )</f>
        <v>28.3</v>
      </c>
      <c r="D10" s="11">
        <f>_xlfn.XLOOKUP(Task_2!A10,Dataset!$A:$A,Dataset!R:R,"",0 )</f>
        <v>16.100000000000001</v>
      </c>
      <c r="E10" s="11">
        <f>_xlfn.XLOOKUP(Task_2!A10, Dataset!$A:$A, Dataset!S:S,"",0 )</f>
        <v>28.3</v>
      </c>
      <c r="F10" s="11">
        <f>_xlfn.XLOOKUP(A10,Dataset!$A:$A, Dataset!V:V, "", 0)</f>
        <v>16.100000000000001</v>
      </c>
    </row>
    <row r="11" spans="1:7" ht="14.4" x14ac:dyDescent="0.3">
      <c r="A11" s="7" t="s">
        <v>12</v>
      </c>
      <c r="B11" s="11">
        <f>_xlfn.XLOOKUP(Task_2!A11, Dataset!$A:$A, Dataset!G:G,"",0 )</f>
        <v>11.6</v>
      </c>
      <c r="C11" s="11">
        <f>_xlfn.XLOOKUP(Task_2!A11, Dataset!$A:$A, Dataset!N:N,"",0 )</f>
        <v>35.200000000000003</v>
      </c>
      <c r="D11" s="11">
        <f>_xlfn.XLOOKUP(Task_2!A11,Dataset!$A:$A,Dataset!R:R,"",0 )</f>
        <v>21.3</v>
      </c>
      <c r="E11" s="11">
        <f>_xlfn.XLOOKUP(Task_2!A11, Dataset!$A:$A, Dataset!S:S,"",0 )</f>
        <v>35.200000000000003</v>
      </c>
      <c r="F11" s="11">
        <f>_xlfn.XLOOKUP(A11,Dataset!$A:$A, Dataset!V:V, "", 0)</f>
        <v>21.3</v>
      </c>
    </row>
    <row r="12" spans="1:7" ht="14.4" x14ac:dyDescent="0.3">
      <c r="A12" s="7" t="s">
        <v>14</v>
      </c>
      <c r="B12" s="11">
        <f>_xlfn.XLOOKUP(Task_2!A12, Dataset!$A:$A, Dataset!G:G,"",0 )</f>
        <v>18.399999999999999</v>
      </c>
      <c r="C12" s="11">
        <f>_xlfn.XLOOKUP(Task_2!A12, Dataset!$A:$A, Dataset!N:N,"",0 )</f>
        <v>55.6</v>
      </c>
      <c r="D12" s="11">
        <f>_xlfn.XLOOKUP(Task_2!A12,Dataset!$A:$A,Dataset!R:R,"",0 )</f>
        <v>33.799999999999997</v>
      </c>
      <c r="E12" s="11">
        <f>_xlfn.XLOOKUP(Task_2!A12, Dataset!$A:$A, Dataset!S:S,"",0 )</f>
        <v>55.6</v>
      </c>
      <c r="F12" s="11">
        <f>_xlfn.XLOOKUP(A12,Dataset!$A:$A, Dataset!V:V, "", 0)</f>
        <v>33.799999999999997</v>
      </c>
    </row>
    <row r="13" spans="1:7" ht="14.4" x14ac:dyDescent="0.3">
      <c r="A13" s="7" t="s">
        <v>15</v>
      </c>
      <c r="B13" s="11">
        <f>_xlfn.XLOOKUP(Task_2!A13, Dataset!$A:$A, Dataset!G:G,"",0 )</f>
        <v>0</v>
      </c>
      <c r="C13" s="11">
        <f>_xlfn.XLOOKUP(Task_2!A13, Dataset!$A:$A, Dataset!N:N,"",0 )</f>
        <v>0</v>
      </c>
      <c r="D13" s="11">
        <f>_xlfn.XLOOKUP(Task_2!A13,Dataset!$A:$A,Dataset!R:R,"",0 )</f>
        <v>0</v>
      </c>
      <c r="E13" s="11">
        <f>_xlfn.XLOOKUP(Task_2!A13, Dataset!$A:$A, Dataset!S:S,"",0 )</f>
        <v>0</v>
      </c>
      <c r="F13" s="11">
        <f>_xlfn.XLOOKUP(A13,Dataset!$A:$A, Dataset!V:V, "", 0)</f>
        <v>0</v>
      </c>
    </row>
    <row r="14" spans="1:7" ht="14.4" x14ac:dyDescent="0.3">
      <c r="A14" s="7" t="s">
        <v>16</v>
      </c>
      <c r="B14" s="11">
        <f>_xlfn.XLOOKUP(Task_2!A14, Dataset!$A:$A, Dataset!G:G,"",0 )</f>
        <v>21.9</v>
      </c>
      <c r="C14" s="11">
        <f>_xlfn.XLOOKUP(Task_2!A14, Dataset!$A:$A, Dataset!N:N,"",0 )</f>
        <v>61.5</v>
      </c>
      <c r="D14" s="11">
        <f>_xlfn.XLOOKUP(Task_2!A14,Dataset!$A:$A,Dataset!R:R,"",0 )</f>
        <v>40.1</v>
      </c>
      <c r="E14" s="11">
        <f>_xlfn.XLOOKUP(Task_2!A14, Dataset!$A:$A, Dataset!S:S,"",0 )</f>
        <v>61.5</v>
      </c>
      <c r="F14" s="11">
        <f>_xlfn.XLOOKUP(A14,Dataset!$A:$A, Dataset!V:V, "", 0)</f>
        <v>40.1</v>
      </c>
    </row>
    <row r="15" spans="1:7" ht="14.4" x14ac:dyDescent="0.3">
      <c r="A15" s="7" t="s">
        <v>18</v>
      </c>
      <c r="B15" s="11">
        <f>_xlfn.XLOOKUP(Task_2!A15, Dataset!$A:$A, Dataset!G:G,"",0 )</f>
        <v>26.8</v>
      </c>
      <c r="C15" s="11">
        <f>_xlfn.XLOOKUP(Task_2!A15, Dataset!$A:$A, Dataset!N:N,"",0 )</f>
        <v>79.599999999999994</v>
      </c>
      <c r="D15" s="11">
        <f>_xlfn.XLOOKUP(Task_2!A15,Dataset!$A:$A,Dataset!R:R,"",0 )</f>
        <v>47.9</v>
      </c>
      <c r="E15" s="11">
        <f>_xlfn.XLOOKUP(Task_2!A15, Dataset!$A:$A, Dataset!S:S,"",0 )</f>
        <v>79.599999999999994</v>
      </c>
      <c r="F15" s="11">
        <f>_xlfn.XLOOKUP(A15,Dataset!$A:$A, Dataset!V:V, "", 0)</f>
        <v>47.9</v>
      </c>
    </row>
    <row r="16" spans="1:7" ht="14.4" x14ac:dyDescent="0.3">
      <c r="A16" s="7" t="s">
        <v>20</v>
      </c>
      <c r="B16" s="11">
        <f>_xlfn.XLOOKUP(Task_2!A16, Dataset!$A:$A, Dataset!G:G,"",0 )</f>
        <v>28.5</v>
      </c>
      <c r="C16" s="11">
        <f>_xlfn.XLOOKUP(Task_2!A16, Dataset!$A:$A, Dataset!N:N,"",0 )</f>
        <v>85.4</v>
      </c>
      <c r="D16" s="11">
        <f>_xlfn.XLOOKUP(Task_2!A16,Dataset!$A:$A,Dataset!R:R,"",0 )</f>
        <v>52.3</v>
      </c>
      <c r="E16" s="11">
        <f>_xlfn.XLOOKUP(Task_2!A16, Dataset!$A:$A, Dataset!S:S,"",0 )</f>
        <v>85.4</v>
      </c>
      <c r="F16" s="11">
        <f>_xlfn.XLOOKUP(A16,Dataset!$A:$A, Dataset!V:V, "", 0)</f>
        <v>52.3</v>
      </c>
    </row>
    <row r="17" spans="1:6" ht="14.4" x14ac:dyDescent="0.3">
      <c r="A17" s="7" t="s">
        <v>22</v>
      </c>
      <c r="B17" s="11">
        <f>_xlfn.XLOOKUP(Task_2!A17, Dataset!$A:$A, Dataset!G:G,"",0 )</f>
        <v>30.7</v>
      </c>
      <c r="C17" s="11">
        <f>_xlfn.XLOOKUP(Task_2!A17, Dataset!$A:$A, Dataset!N:N,"",0 )</f>
        <v>92.1</v>
      </c>
      <c r="D17" s="11">
        <f>_xlfn.XLOOKUP(Task_2!A17,Dataset!$A:$A,Dataset!R:R,"",0 )</f>
        <v>57</v>
      </c>
      <c r="E17" s="11">
        <f>_xlfn.XLOOKUP(Task_2!A17, Dataset!$A:$A, Dataset!S:S,"",0 )</f>
        <v>92.1</v>
      </c>
      <c r="F17" s="11">
        <f>_xlfn.XLOOKUP(A17,Dataset!$A:$A, Dataset!V:V, "", 0)</f>
        <v>57</v>
      </c>
    </row>
    <row r="18" spans="1:6" ht="14.4" x14ac:dyDescent="0.3">
      <c r="A18" s="7" t="s">
        <v>23</v>
      </c>
      <c r="B18" s="11">
        <f>_xlfn.XLOOKUP(Task_2!A18, Dataset!$A:$A, Dataset!G:G,"",0 )</f>
        <v>33.799999999999997</v>
      </c>
      <c r="C18" s="11">
        <f>_xlfn.XLOOKUP(Task_2!A18, Dataset!$A:$A, Dataset!N:N,"",0 )</f>
        <v>101.3</v>
      </c>
      <c r="D18" s="11">
        <f>_xlfn.XLOOKUP(Task_2!A18,Dataset!$A:$A,Dataset!R:R,"",0 )</f>
        <v>61.4</v>
      </c>
      <c r="E18" s="11">
        <f>_xlfn.XLOOKUP(Task_2!A18, Dataset!$A:$A, Dataset!S:S,"",0 )</f>
        <v>101.3</v>
      </c>
      <c r="F18" s="11">
        <f>_xlfn.XLOOKUP(A18,Dataset!$A:$A, Dataset!V:V, "", 0)</f>
        <v>61.4</v>
      </c>
    </row>
    <row r="19" spans="1:6" ht="14.4" x14ac:dyDescent="0.3">
      <c r="A19" s="7" t="s">
        <v>24</v>
      </c>
      <c r="B19" s="11">
        <f>_xlfn.XLOOKUP(Task_2!A19, Dataset!$A:$A, Dataset!G:G,"",0 )</f>
        <v>34.700000000000003</v>
      </c>
      <c r="C19" s="11">
        <f>_xlfn.XLOOKUP(Task_2!A19, Dataset!$A:$A, Dataset!N:N,"",0 )</f>
        <v>106.1</v>
      </c>
      <c r="D19" s="11">
        <f>_xlfn.XLOOKUP(Task_2!A19,Dataset!$A:$A,Dataset!R:R,"",0 )</f>
        <v>63.6</v>
      </c>
      <c r="E19" s="11">
        <f>_xlfn.XLOOKUP(Task_2!A19, Dataset!$A:$A, Dataset!S:S,"",0 )</f>
        <v>106.1</v>
      </c>
      <c r="F19" s="11">
        <f>_xlfn.XLOOKUP(A19,Dataset!$A:$A, Dataset!V:V, "", 0)</f>
        <v>63.6</v>
      </c>
    </row>
    <row r="20" spans="1:6" ht="14.4" x14ac:dyDescent="0.3">
      <c r="A20" s="7" t="s">
        <v>28</v>
      </c>
      <c r="B20" s="11">
        <f>_xlfn.XLOOKUP(Task_2!A20, Dataset!$A:$A, Dataset!G:G,"",0 )</f>
        <v>0</v>
      </c>
      <c r="C20" s="11">
        <f>_xlfn.XLOOKUP(Task_2!A20, Dataset!$A:$A, Dataset!N:N,"",0 )</f>
        <v>0</v>
      </c>
      <c r="D20" s="11">
        <f>_xlfn.XLOOKUP(Task_2!A20,Dataset!$A:$A,Dataset!R:R,"",0 )</f>
        <v>0</v>
      </c>
      <c r="E20" s="11">
        <f>_xlfn.XLOOKUP(Task_2!A20, Dataset!$A:$A, Dataset!S:S,"",0 )</f>
        <v>0</v>
      </c>
      <c r="F20" s="11">
        <f>_xlfn.XLOOKUP(A20,Dataset!$A:$A, Dataset!V:V, "", 0)</f>
        <v>0</v>
      </c>
    </row>
    <row r="21" spans="1:6" ht="14.4" x14ac:dyDescent="0.3">
      <c r="A21" s="7" t="s">
        <v>57</v>
      </c>
      <c r="B21" s="11">
        <f>_xlfn.XLOOKUP(Task_2!A21, Dataset!$A:$A, Dataset!G:G,"",0 )</f>
        <v>41.3</v>
      </c>
      <c r="C21" s="11">
        <f>_xlfn.XLOOKUP(Task_2!A21, Dataset!$A:$A, Dataset!N:N,"",0 )</f>
        <v>124.4</v>
      </c>
      <c r="D21" s="11">
        <f>_xlfn.XLOOKUP(Task_2!A21,Dataset!$A:$A,Dataset!R:R,"",0 )</f>
        <v>75</v>
      </c>
      <c r="E21" s="11">
        <f>_xlfn.XLOOKUP(Task_2!A21, Dataset!$A:$A, Dataset!S:S,"",0 )</f>
        <v>124.4</v>
      </c>
      <c r="F21" s="11">
        <f>_xlfn.XLOOKUP(A21,Dataset!$A:$A, Dataset!V:V, "", 0)</f>
        <v>75</v>
      </c>
    </row>
    <row r="22" spans="1:6" ht="14.4" x14ac:dyDescent="0.3">
      <c r="A22" s="7" t="s">
        <v>58</v>
      </c>
      <c r="B22" s="11">
        <f>_xlfn.XLOOKUP(Task_2!A22, Dataset!$A:$A, Dataset!G:G,"",0 )</f>
        <v>-1</v>
      </c>
      <c r="C22" s="11">
        <f>_xlfn.XLOOKUP(Task_2!A22, Dataset!$A:$A, Dataset!N:N,"",0 )</f>
        <v>-1</v>
      </c>
      <c r="D22" s="11">
        <f>_xlfn.XLOOKUP(Task_2!A22,Dataset!$A:$A,Dataset!R:R,"",0 )</f>
        <v>-1</v>
      </c>
      <c r="E22" s="11">
        <f>_xlfn.XLOOKUP(Task_2!A22, Dataset!$A:$A, Dataset!S:S,"",0 )</f>
        <v>-1</v>
      </c>
      <c r="F22" s="11">
        <f>_xlfn.XLOOKUP(A22,Dataset!$A:$A, Dataset!V:V, "", 0)</f>
        <v>-1</v>
      </c>
    </row>
    <row r="23" spans="1:6" ht="14.4" x14ac:dyDescent="0.3">
      <c r="A23" s="7" t="s">
        <v>31</v>
      </c>
      <c r="B23" s="11">
        <f>_xlfn.XLOOKUP(Task_2!A23, Dataset!$A:$A, Dataset!G:G,"",0 )</f>
        <v>45</v>
      </c>
      <c r="C23" s="11">
        <f>_xlfn.XLOOKUP(Task_2!A23, Dataset!$A:$A, Dataset!N:N,"",0 )</f>
        <v>133.4</v>
      </c>
      <c r="D23" s="11">
        <f>_xlfn.XLOOKUP(Task_2!A23,Dataset!$A:$A,Dataset!R:R,"",0 )</f>
        <v>79.400000000000006</v>
      </c>
      <c r="E23" s="11">
        <f>_xlfn.XLOOKUP(Task_2!A23, Dataset!$A:$A, Dataset!S:S,"",0 )</f>
        <v>133.4</v>
      </c>
      <c r="F23" s="11">
        <f>_xlfn.XLOOKUP(A23,Dataset!$A:$A, Dataset!V:V, "", 0)</f>
        <v>79.400000000000006</v>
      </c>
    </row>
    <row r="24" spans="1:6" ht="14.4" x14ac:dyDescent="0.3">
      <c r="A24" s="7" t="s">
        <v>32</v>
      </c>
      <c r="B24" s="11">
        <f>_xlfn.XLOOKUP(Task_2!A24, Dataset!$A:$A, Dataset!G:G,"",0 )</f>
        <v>-1</v>
      </c>
      <c r="C24" s="11">
        <f>_xlfn.XLOOKUP(Task_2!A24, Dataset!$A:$A, Dataset!N:N,"",0 )</f>
        <v>-1</v>
      </c>
      <c r="D24" s="11">
        <f>_xlfn.XLOOKUP(Task_2!A24,Dataset!$A:$A,Dataset!R:R,"",0 )</f>
        <v>-1</v>
      </c>
      <c r="E24" s="11">
        <f>_xlfn.XLOOKUP(Task_2!A24, Dataset!$A:$A, Dataset!S:S,"",0 )</f>
        <v>-1</v>
      </c>
      <c r="F24" s="11">
        <f>_xlfn.XLOOKUP(A24,Dataset!$A:$A, Dataset!V:V, "", 0)</f>
        <v>-1</v>
      </c>
    </row>
    <row r="25" spans="1:6" ht="14.4" x14ac:dyDescent="0.3">
      <c r="A25" s="7" t="s">
        <v>34</v>
      </c>
      <c r="B25" s="11">
        <f>_xlfn.XLOOKUP(Task_2!A25, Dataset!$A:$A, Dataset!G:G,"",0 )</f>
        <v>43.3</v>
      </c>
      <c r="C25" s="11">
        <f>_xlfn.XLOOKUP(Task_2!A25, Dataset!$A:$A, Dataset!N:N,"",0 )</f>
        <v>128.6</v>
      </c>
      <c r="D25" s="11">
        <f>_xlfn.XLOOKUP(Task_2!A25,Dataset!$A:$A,Dataset!R:R,"",0 )</f>
        <v>79.400000000000006</v>
      </c>
      <c r="E25" s="11">
        <f>_xlfn.XLOOKUP(Task_2!A25, Dataset!$A:$A, Dataset!S:S,"",0 )</f>
        <v>128.6</v>
      </c>
      <c r="F25" s="11">
        <f>_xlfn.XLOOKUP(A25,Dataset!$A:$A, Dataset!V:V, "", 0)</f>
        <v>79.400000000000006</v>
      </c>
    </row>
    <row r="26" spans="1:6" ht="14.4" x14ac:dyDescent="0.3">
      <c r="A26" s="7" t="s">
        <v>37</v>
      </c>
      <c r="B26" s="11">
        <f>_xlfn.XLOOKUP(Task_2!A26, Dataset!$A:$A, Dataset!G:G,"",0 )</f>
        <v>49.1</v>
      </c>
      <c r="C26" s="11">
        <f>_xlfn.XLOOKUP(Task_2!A26, Dataset!$A:$A, Dataset!N:N,"",0 )</f>
        <v>146.80000000000001</v>
      </c>
      <c r="D26" s="11">
        <f>_xlfn.XLOOKUP(Task_2!A26,Dataset!$A:$A,Dataset!R:R,"",0 )</f>
        <v>90.9</v>
      </c>
      <c r="E26" s="11">
        <f>_xlfn.XLOOKUP(Task_2!A26, Dataset!$A:$A, Dataset!S:S,"",0 )</f>
        <v>146.80000000000001</v>
      </c>
      <c r="F26" s="11">
        <f>_xlfn.XLOOKUP(A26,Dataset!$A:$A, Dataset!V:V, "", 0)</f>
        <v>90.9</v>
      </c>
    </row>
    <row r="27" spans="1:6" ht="14.4" x14ac:dyDescent="0.3">
      <c r="A27" s="7" t="s">
        <v>39</v>
      </c>
      <c r="B27" s="11">
        <f>_xlfn.XLOOKUP(Task_2!A27, Dataset!$A:$A, Dataset!G:G,"",0 )</f>
        <v>51.8</v>
      </c>
      <c r="C27" s="11">
        <f>_xlfn.XLOOKUP(Task_2!A27, Dataset!$A:$A, Dataset!N:N,"",0 )</f>
        <v>156.4</v>
      </c>
      <c r="D27" s="11">
        <f>_xlfn.XLOOKUP(Task_2!A27,Dataset!$A:$A,Dataset!R:R,"",0 )</f>
        <v>93.1</v>
      </c>
      <c r="E27" s="11">
        <f>_xlfn.XLOOKUP(Task_2!A27, Dataset!$A:$A, Dataset!S:S,"",0 )</f>
        <v>156.4</v>
      </c>
      <c r="F27" s="11">
        <f>_xlfn.XLOOKUP(A27,Dataset!$A:$A, Dataset!V:V, "", 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156.4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62.43636363636363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179</v>
      </c>
    </row>
    <row r="6" spans="1:10" ht="18" x14ac:dyDescent="0.35">
      <c r="A6" s="42" t="s">
        <v>153</v>
      </c>
      <c r="B6" s="39" t="s">
        <v>180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177</v>
      </c>
    </row>
    <row r="7" spans="1:3" ht="14.4" x14ac:dyDescent="0.3">
      <c r="A7" s="3" t="s">
        <v>153</v>
      </c>
      <c r="B7" s="1" t="s">
        <v>181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5" sqref="B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178</v>
      </c>
      <c r="B4" s="1"/>
    </row>
    <row r="5" spans="1:14" ht="18" x14ac:dyDescent="0.35">
      <c r="A5" s="42" t="s">
        <v>153</v>
      </c>
      <c r="B5" s="1" t="s">
        <v>182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5">
        <f>INDEX($B$10:$J$18, MATCH(VLOOKUP(A23, $M$9:$N$18,2,0), $A$10:$A$18,0), MATCH(VLOOKUP(B23,$M$9:$N$18,2,0), $B$9:$J$9,0))</f>
        <v>95</v>
      </c>
    </row>
    <row r="24" spans="1:14" ht="14.4" x14ac:dyDescent="0.3">
      <c r="A24" s="7">
        <v>10100</v>
      </c>
      <c r="B24" s="11">
        <v>10104</v>
      </c>
      <c r="C24" s="45">
        <f t="shared" ref="C24:C35" si="0">INDEX($B$10:$J$18, MATCH(VLOOKUP(A24, $M$9:$N$18,2,0), $A$10:$A$18,0), MATCH(VLOOKUP(B24,$M$9:$N$18,2,0), $B$9:$J$9,0))</f>
        <v>-1</v>
      </c>
    </row>
    <row r="25" spans="1:14" ht="14.4" x14ac:dyDescent="0.3">
      <c r="A25" s="7">
        <v>10108</v>
      </c>
      <c r="B25" s="11">
        <v>10102</v>
      </c>
      <c r="C25" s="45">
        <f t="shared" si="0"/>
        <v>160</v>
      </c>
    </row>
    <row r="26" spans="1:14" ht="14.4" x14ac:dyDescent="0.3">
      <c r="A26" s="7">
        <v>10100</v>
      </c>
      <c r="B26" s="11">
        <v>10106</v>
      </c>
      <c r="C26" s="45">
        <f t="shared" si="0"/>
        <v>185</v>
      </c>
    </row>
    <row r="27" spans="1:14" ht="14.4" x14ac:dyDescent="0.3">
      <c r="A27" s="7">
        <v>10108</v>
      </c>
      <c r="B27" s="11">
        <v>10110</v>
      </c>
      <c r="C27" s="45">
        <f t="shared" si="0"/>
        <v>50</v>
      </c>
    </row>
    <row r="28" spans="1:14" ht="14.4" x14ac:dyDescent="0.3">
      <c r="A28" s="7">
        <v>10102</v>
      </c>
      <c r="B28" s="11">
        <v>10104</v>
      </c>
      <c r="C28" s="45">
        <f t="shared" si="0"/>
        <v>-1</v>
      </c>
    </row>
    <row r="29" spans="1:14" ht="14.4" x14ac:dyDescent="0.3">
      <c r="A29" s="7">
        <v>10106</v>
      </c>
      <c r="B29" s="11">
        <v>10108</v>
      </c>
      <c r="C29" s="45">
        <f t="shared" si="0"/>
        <v>70</v>
      </c>
    </row>
    <row r="30" spans="1:14" ht="14.4" x14ac:dyDescent="0.3">
      <c r="A30" s="7">
        <v>10102</v>
      </c>
      <c r="B30" s="11">
        <v>10106</v>
      </c>
      <c r="C30" s="45">
        <f t="shared" si="0"/>
        <v>90</v>
      </c>
    </row>
    <row r="31" spans="1:14" ht="14.4" x14ac:dyDescent="0.3">
      <c r="A31" s="7">
        <v>10110</v>
      </c>
      <c r="B31" s="11">
        <v>10114</v>
      </c>
      <c r="C31" s="45">
        <f t="shared" si="0"/>
        <v>180</v>
      </c>
    </row>
    <row r="32" spans="1:14" ht="14.4" x14ac:dyDescent="0.3">
      <c r="A32" s="7">
        <v>10104</v>
      </c>
      <c r="B32" s="11">
        <v>10106</v>
      </c>
      <c r="C32" s="45">
        <f t="shared" si="0"/>
        <v>60</v>
      </c>
    </row>
    <row r="33" spans="1:3" ht="14.4" x14ac:dyDescent="0.3">
      <c r="A33" s="7">
        <v>10110</v>
      </c>
      <c r="B33" s="11">
        <v>10112</v>
      </c>
      <c r="C33" s="45">
        <f t="shared" si="0"/>
        <v>115</v>
      </c>
    </row>
    <row r="34" spans="1:3" ht="14.4" x14ac:dyDescent="0.3">
      <c r="A34" s="7">
        <v>10100</v>
      </c>
      <c r="B34" s="11">
        <v>10114</v>
      </c>
      <c r="C34" s="45">
        <f t="shared" si="0"/>
        <v>480</v>
      </c>
    </row>
    <row r="35" spans="1:3" ht="14.4" x14ac:dyDescent="0.3">
      <c r="A35" s="8">
        <v>10112</v>
      </c>
      <c r="B35" s="12">
        <v>10116</v>
      </c>
      <c r="C35" s="45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Shreya Ojha</cp:lastModifiedBy>
  <dcterms:created xsi:type="dcterms:W3CDTF">2015-02-10T17:33:11Z</dcterms:created>
  <dcterms:modified xsi:type="dcterms:W3CDTF">2023-12-10T12:28:42Z</dcterms:modified>
</cp:coreProperties>
</file>