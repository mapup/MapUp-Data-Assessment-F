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prateek\MapUp-Data-Assessment-F\"/>
    </mc:Choice>
  </mc:AlternateContent>
  <xr:revisionPtr revIDLastSave="0" documentId="13_ncr:1_{D61967A4-6A64-44C5-88A3-B0B894F26C06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1" i="1" l="1"/>
  <c r="C30" i="18"/>
  <c r="B30" i="18"/>
  <c r="D30" i="18"/>
  <c r="E30" i="18"/>
  <c r="F30" i="18"/>
  <c r="C29" i="18"/>
  <c r="D29" i="18"/>
  <c r="E29" i="18"/>
  <c r="F29" i="18"/>
  <c r="B29" i="18"/>
  <c r="F28" i="18"/>
  <c r="E28" i="18"/>
  <c r="C28" i="18"/>
  <c r="D28" i="18"/>
  <c r="B28" i="18"/>
  <c r="F22" i="18"/>
  <c r="F23" i="18"/>
  <c r="F24" i="18"/>
  <c r="F25" i="18"/>
  <c r="F26" i="18"/>
  <c r="F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E24" i="18"/>
  <c r="E25" i="18"/>
  <c r="E26" i="18"/>
  <c r="E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D26" i="18"/>
  <c r="D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C26" i="18"/>
  <c r="C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6" i="18"/>
  <c r="D6" i="18"/>
  <c r="E6" i="18"/>
  <c r="F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D16" i="16" l="1"/>
  <c r="E16" i="16"/>
  <c r="F16" i="16"/>
  <c r="C16" i="16"/>
  <c r="F17" i="16"/>
  <c r="D18" i="16"/>
  <c r="B16" i="16"/>
  <c r="B17" i="16"/>
  <c r="C22" i="19" a="1"/>
  <c r="C22" i="19" s="1"/>
  <c r="E45" i="16"/>
  <c r="E46" i="16"/>
  <c r="E47" i="16"/>
  <c r="E48" i="16"/>
  <c r="E49" i="16"/>
  <c r="E50" i="16"/>
  <c r="E51" i="16"/>
  <c r="E52" i="16"/>
  <c r="E53" i="16"/>
  <c r="E54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17" i="16"/>
  <c r="E18" i="16"/>
  <c r="E19" i="16"/>
  <c r="E20" i="16"/>
  <c r="E21" i="16"/>
  <c r="E22" i="16"/>
  <c r="E23" i="16"/>
  <c r="E24" i="16"/>
  <c r="E25" i="16"/>
  <c r="E26" i="16"/>
  <c r="E27" i="16"/>
  <c r="D54" i="16"/>
  <c r="D44" i="16"/>
  <c r="D45" i="16"/>
  <c r="D46" i="16"/>
  <c r="D47" i="16"/>
  <c r="D48" i="16"/>
  <c r="D49" i="16"/>
  <c r="D50" i="16"/>
  <c r="D51" i="16"/>
  <c r="D52" i="16"/>
  <c r="D53" i="16"/>
  <c r="D33" i="16"/>
  <c r="D34" i="16"/>
  <c r="D35" i="16"/>
  <c r="D36" i="16"/>
  <c r="D37" i="16"/>
  <c r="D38" i="16"/>
  <c r="D39" i="16"/>
  <c r="D40" i="16"/>
  <c r="D41" i="16"/>
  <c r="D42" i="16"/>
  <c r="D43" i="16"/>
  <c r="D17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C44" i="16"/>
  <c r="C45" i="16"/>
  <c r="C46" i="16"/>
  <c r="C47" i="16"/>
  <c r="C48" i="16"/>
  <c r="C49" i="16"/>
  <c r="C50" i="16"/>
  <c r="C51" i="16"/>
  <c r="C52" i="16"/>
  <c r="C53" i="16"/>
  <c r="C54" i="16"/>
  <c r="C33" i="16"/>
  <c r="C34" i="16"/>
  <c r="C35" i="16"/>
  <c r="C36" i="16"/>
  <c r="C37" i="16"/>
  <c r="C38" i="16"/>
  <c r="C39" i="16"/>
  <c r="C40" i="16"/>
  <c r="C41" i="16"/>
  <c r="C42" i="16"/>
  <c r="C43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F54" i="16"/>
  <c r="F55" i="16"/>
  <c r="F44" i="16"/>
  <c r="F45" i="16"/>
  <c r="F46" i="16"/>
  <c r="F47" i="16"/>
  <c r="F48" i="16"/>
  <c r="F49" i="16"/>
  <c r="F50" i="16"/>
  <c r="F51" i="16"/>
  <c r="F52" i="16"/>
  <c r="F53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B53" i="16"/>
  <c r="B54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<sst xmlns="http://schemas.openxmlformats.org/spreadsheetml/2006/main" count="332" uniqueCount="187">
  <si>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</si>
  <si>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</si>
  <si>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</si>
  <si>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</si>
  <si>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</si>
  <si>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</si>
  <si>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</si>
  <si>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</si>
  <si>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</si>
  <si>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</si>
  <si>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</si>
  <si>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</si>
  <si>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</si>
  <si>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</si>
  <si>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</si>
  <si>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</si>
  <si>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</si>
  <si>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</si>
  <si>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</si>
  <si>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</si>
  <si>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</si>
  <si>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</si>
  <si>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</si>
  <si>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</si>
  <si>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</si>
  <si>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</si>
  <si>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</si>
  <si>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</si>
  <si>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</si>
  <si>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</si>
  <si>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</si>
  <si>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</si>
  <si>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</si>
  <si>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</si>
  <si>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</si>
  <si>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</si>
  <si>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</si>
  <si>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</si>
  <si>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</si>
  <si>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</si>
  <si>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</si>
  <si>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</si>
  <si>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</si>
  <si>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</si>
  <si>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</si>
  <si>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</si>
  <si>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</si>
  <si>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</si>
  <si>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</si>
  <si>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</si>
  <si>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</si>
  <si>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</si>
  <si>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</si>
  <si>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</si>
  <si>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</si>
  <si>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</si>
  <si>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</si>
  <si>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</si>
  <si>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</si>
  <si>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</si>
  <si>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</si>
  <si>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</si>
  <si>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</si>
  <si>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</si>
  <si>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</si>
  <si>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</si>
  <si>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</si>
  <si>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</si>
  <si>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</si>
  <si>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</si>
  <si>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</si>
  <si>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</si>
  <si>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</si>
  <si>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</si>
  <si>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</si>
  <si>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</si>
  <si>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</si>
  <si>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</si>
  <si>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</si>
  <si>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</si>
  <si>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</si>
  <si>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</si>
  <si>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</si>
  <si>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</si>
  <si>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</si>
  <si>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</si>
  <si>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</si>
  <si>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</si>
  <si>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</si>
  <si>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</si>
  <si>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</si>
  <si>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</si>
  <si>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</si>
  <si>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</si>
  <si>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</si>
  <si>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</si>
  <si>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</si>
  <si>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</si>
  <si>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</si>
  <si>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</si>
  <si>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</si>
  <si>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</si>
  <si>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</si>
  <si>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</si>
  <si>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</si>
  <si>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</si>
  <si>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</si>
  <si>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</si>
  <si>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</si>
  <si>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</si>
  <si>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</si>
  <si>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</si>
  <si>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</si>
  <si>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</si>
  <si>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</si>
  <si>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</si>
  <si>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</si>
  <si>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</si>
  <si>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</si>
  <si>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</si>
  <si>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</si>
  <si>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</si>
  <si>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</si>
  <si>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</si>
  <si>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</si>
  <si>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</si>
  <si>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</si>
  <si>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</si>
  <si>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</si>
  <si>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</si>
  <si>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</si>
  <si>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</si>
  <si>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</si>
  <si>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</si>
  <si>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</si>
  <si>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</si>
  <si>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</si>
  <si>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</si>
  <si>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</si>
  <si>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Sum(IF(ISNA(C12:C21),20,C12:C21))	</t>
  </si>
  <si>
    <t xml:space="preserve"> ISNA(C12:C21): This part of the formula checks for each cell in the range C12:C21 (which contains the sales data) whether it is #N/A or not. It returns an array of TRUE for #N/A cells and FALSE for other cells.</t>
  </si>
  <si>
    <t xml:space="preserve"> IF(ISNA(C12:C21), 20, C12:C21): This part uses the array obtained from the ISNA function. If a cell is #N/A (TRUE), it substitutes it with '20'; otherwise, it keeps the original value.	</t>
  </si>
  <si>
    <t xml:space="preserve">SUM(IF(ISNA(C12:C21), 20, C12:C21)): Finally, the SUM function adds up all the values in the modified array, giving you the sum of sales with #N/A values substituted by '20'. 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</si>
  <si>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</si>
  <si>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</si>
  <si>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</si>
  <si>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</si>
  <si>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</si>
  <si>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</si>
  <si>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20000-Monday-0-Sunday-31</t>
  </si>
  <si>
    <t>20000-Monday-0-Sunday-32</t>
  </si>
  <si>
    <t>20000-Monday-0-Sunday-33</t>
  </si>
  <si>
    <t>20000-Monday-0-Sunday-34</t>
  </si>
  <si>
    <t>20000-Monday-0-Sunday-35</t>
  </si>
  <si>
    <t>20000-Monday-0-Sunday-36</t>
  </si>
  <si>
    <t>20000-Monday-0-Sunday-37</t>
  </si>
  <si>
    <t>20000-Monday-0-Sunday-38</t>
  </si>
  <si>
    <t>20000-Monday-0-Sunday-39</t>
  </si>
  <si>
    <t>20000-Monday-0-Sunday-40</t>
  </si>
  <si>
    <t>20000-Monday-0-Sunday-41</t>
  </si>
  <si>
    <t>20000-Monday-0-Sunday-42</t>
  </si>
  <si>
    <t>20000-Monday-0-Sunday-43</t>
  </si>
  <si>
    <t>20000-Monday-0-Sunday-44</t>
  </si>
  <si>
    <t>20000-Monday-0-Sunday-45</t>
  </si>
  <si>
    <t>20000-Monday-0-Sunday-46</t>
  </si>
  <si>
    <t>20000-Monday-0-Sunday-47</t>
  </si>
  <si>
    <t>20000-Monday-0-Sunday-48</t>
  </si>
  <si>
    <t>20000-Monday-0-Sunday-49</t>
  </si>
  <si>
    <t>20000-Monday-0-Sunday-50</t>
  </si>
  <si>
    <t>20000-Monday-0-Sunday-51</t>
  </si>
  <si>
    <t>20000-Monday-0-Sunday-52</t>
  </si>
  <si>
    <t>20000-Monday-0-Sunday-53</t>
  </si>
  <si>
    <t>20000-Monday-0-Sunday-54</t>
  </si>
  <si>
    <t>20000-Monday-0-Sunday-55</t>
  </si>
  <si>
    <t>20000-Monday-0-Sunday-56</t>
  </si>
  <si>
    <t>20000-Monday-0-Sunday-57</t>
  </si>
  <si>
    <t>20000-Monday-0-Sunday-58</t>
  </si>
  <si>
    <t>20000-Monday-0-Sunday-59</t>
  </si>
  <si>
    <t>20000-Monday-0-Sunday-60</t>
  </si>
  <si>
    <t>20000-Monday-0-Sunday-61</t>
  </si>
  <si>
    <t>20000-Monday-0-Sunday-62</t>
  </si>
  <si>
    <t>LEFT($A16,5)</t>
  </si>
  <si>
    <t>MID(A16,7,6)</t>
  </si>
  <si>
    <t>RIGHT(A16,2)</t>
  </si>
  <si>
    <t>MID(A16,6)</t>
  </si>
  <si>
    <t>MID(A16,14,1)</t>
  </si>
  <si>
    <t>SUMIF(H2:H40,"&gt;20")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</si>
</sst>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2" formatCode="[$-14009]yyyy/mm/dd;@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mbria"/>
      <family val="1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5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8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0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0" fontId="4" fillId="5" borderId="1" xfId="0" applyFont="1" applyFill="1" applyBorder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8" xfId="0" applyFont="1" applyBorder="1"/>
    <xf numFmtId="0" fontId="9" fillId="0" borderId="6" xfId="0" applyFont="1" applyBorder="1"/>
    <xf numFmtId="0" fontId="9" fillId="0" borderId="8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0" fontId="9" fillId="0" borderId="5" xfId="0" applyFont="1" applyBorder="1"/>
    <xf numFmtId="0" fontId="0" fillId="0" borderId="0" xfId="0"/>
    <xf numFmtId="0" fontId="4" fillId="0" borderId="0" xfId="0" applyFont="1"/>
    <xf numFmtId="0" fontId="4" fillId="0" borderId="2" xfId="0" applyFont="1" applyBorder="1"/>
    <xf numFmtId="0" fontId="4" fillId="0" borderId="6" xfId="0" applyFont="1" applyBorder="1"/>
    <xf numFmtId="0" fontId="4" fillId="5" borderId="1" xfId="0" applyFont="1" applyFill="1" applyBorder="1"/>
    <xf numFmtId="0" fontId="19" fillId="0" borderId="0" xfId="0" applyFont="1"/>
    <xf numFmtId="0" fontId="20" fillId="0" borderId="0" xfId="0" applyFont="1"/>
    <xf numFmtId="172" fontId="4" fillId="0" borderId="0" xfId="0" applyNumberFormat="1" applyFont="1"/>
    <xf numFmtId="2" fontId="4" fillId="5" borderId="1" xfId="0" applyNumberFormat="1" applyFont="1" applyFill="1" applyBorder="1"/>
    <xf numFmtId="0" fontId="3" fillId="0" borderId="0" xfId="6"/>
    <xf numFmtId="0" fontId="19" fillId="0" borderId="0" xfId="6" applyFont="1"/>
  </cellXfs>
  <cellStyles count="19">
    <cellStyle name="Normal" xfId="0" builtinId="0"/>
    <cellStyle name="Normal 2" xfId="1" xr:uid="{00000000-0005-0000-0000-000001000000}"/>
    <cellStyle name="Normal 2 2" xfId="3" xr:uid="{00000000-0005-0000-0000-000003000000}"/>
    <cellStyle name="Normal 2 2 2" xfId="13" xr:uid="{20F8C7F1-C234-4DD4-BE1F-9679F35703C6}"/>
    <cellStyle name="Normal 2 3" xfId="7" xr:uid="{00000000-0005-0000-0000-000007000000}"/>
    <cellStyle name="Normal 2 3 2" xfId="16" xr:uid="{4253D764-6285-4D5F-8473-E69B136A932F}"/>
    <cellStyle name="Normal 2 4" xfId="11" xr:uid="{9F5DB612-E595-46C7-B234-E73CF9F544D9}"/>
    <cellStyle name="Normal 3" xfId="2" xr:uid="{00000000-0005-0000-0000-000002000000}"/>
    <cellStyle name="Normal 3 2" xfId="8" xr:uid="{00000000-0005-0000-0000-000008000000}"/>
    <cellStyle name="Normal 3 2 2" xfId="17" xr:uid="{76606E8B-394C-42F7-BD2D-5B2F78293C6B}"/>
    <cellStyle name="Normal 3 3" xfId="12" xr:uid="{0D4A6A9C-38CE-42BC-89A6-7683AEDA619C}"/>
    <cellStyle name="Normal 4" xfId="4" xr:uid="{00000000-0005-0000-0000-000004000000}"/>
    <cellStyle name="Normal 4 2" xfId="14" xr:uid="{F14724FB-C72B-4CAB-A98D-2582C8D36249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5 3 2" xfId="18" xr:uid="{C5E4C7CB-45B0-4D26-BCE2-989E0F879546}"/>
    <cellStyle name="Normal 5 4" xfId="15" xr:uid="{1E249BAD-1936-4714-8DCC-34B62C2BEC24}"/>
    <cellStyle name="Normal 7" xfId="9" xr:uid="{00000000-0005-0000-0000-000009000000}"/>
  </cellStyles>
  <dxfs count="7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C22" sqref="C22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114</v>
      </c>
    </row>
    <row r="8" spans="1:3" x14ac:dyDescent="0.3">
      <c r="A8" s="2" t="s">
        <v>135</v>
      </c>
    </row>
    <row r="9" spans="1:3" x14ac:dyDescent="0.3">
      <c r="A9" s="34" t="s">
        <v>133</v>
      </c>
      <c r="B9" s="24" t="s">
        <v>131</v>
      </c>
    </row>
    <row r="10" spans="1:3" x14ac:dyDescent="0.3">
      <c r="A10" s="33" t="s">
        <v>134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132</v>
      </c>
      <c r="B15" s="23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L1" zoomScaleNormal="100" workbookViewId="0">
      <pane ySplit="1" topLeftCell="A35" activePane="bottomLeft" state="frozen"/>
      <selection pane="bottomLeft" activeCell="U57" sqref="U57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51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51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51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51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51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51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51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51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51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51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51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51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51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51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51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51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51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51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51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51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51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51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51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51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51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51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51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51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51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51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51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51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51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51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51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51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51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51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51">
        <v>45162</v>
      </c>
    </row>
    <row r="41" spans="1:24" x14ac:dyDescent="0.3">
      <c r="H41" s="1">
        <f>I42</f>
        <v>0</v>
      </c>
    </row>
  </sheetData>
  <conditionalFormatting sqref="A1:A1048576">
    <cfRule type="duplicateValues" dxfId="4" priority="4"/>
  </conditionalFormatting>
  <conditionalFormatting sqref="B1:B1048576">
    <cfRule type="duplicateValues" dxfId="3" priority="3"/>
  </conditionalFormatting>
  <conditionalFormatting sqref="A1:X40"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138</v>
      </c>
    </row>
    <row r="2" spans="1:5" x14ac:dyDescent="0.3">
      <c r="A2" s="2"/>
      <c r="B2" s="5" t="s">
        <v>122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2" t="s">
        <v>186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G35" sqref="G3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126</v>
      </c>
    </row>
    <row r="2" spans="1:7" s="39" customFormat="1" ht="21" x14ac:dyDescent="0.4">
      <c r="B2" s="39" t="s">
        <v>123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124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10">
        <f>INDEX(Dataset!$A$1:$X$40,MATCH($A6,Dataset!$A$1:$A$40,0),MATCH(B$5,Dataset!$A$1:$X$1,0))</f>
        <v>2.7</v>
      </c>
      <c r="C6" s="47">
        <f>INDEX(Dataset!$A$1:$X$40,MATCH($A6,Dataset!$A$1:$A$40,0),MATCH(C$5,Dataset!$A$1:$X$1,0))</f>
        <v>7.6</v>
      </c>
      <c r="D6" s="47">
        <f>INDEX(Dataset!$A$1:$X$40,MATCH($A6,Dataset!$A$1:$A$40,0),MATCH(D$5,Dataset!$A$1:$X$1,0))</f>
        <v>4.2</v>
      </c>
      <c r="E6" s="47">
        <f>INDEX(Dataset!$A$1:$X$40,MATCH($A6,Dataset!$A$1:$A$40,0),MATCH(E$5,Dataset!$A$1:$X$1,0))</f>
        <v>8.9</v>
      </c>
      <c r="F6" s="47">
        <f>INDEX(Dataset!$A$1:$X$40,MATCH($A6,Dataset!$A$1:$A$40,0),MATCH(F$5,Dataset!$A$1:$X$1,0))</f>
        <v>4.2</v>
      </c>
    </row>
    <row r="7" spans="1:7" ht="14.4" x14ac:dyDescent="0.3">
      <c r="A7" s="7" t="s">
        <v>4</v>
      </c>
      <c r="B7" s="47">
        <f>INDEX(Dataset!$A$1:$X$40,MATCH($A7,Dataset!$A$1:$A$40,0),MATCH(B$5,Dataset!$A$1:$X$1,0))</f>
        <v>2.7</v>
      </c>
      <c r="C7" s="47">
        <f>INDEX(Dataset!$A$1:$X$40,MATCH($A7,Dataset!$A$1:$A$40,0),MATCH(C$5,Dataset!$A$1:$X$1,0))</f>
        <v>7.6</v>
      </c>
      <c r="D7" s="47">
        <f>INDEX(Dataset!$A$1:$X$40,MATCH($A7,Dataset!$A$1:$A$40,0),MATCH(D$5,Dataset!$A$1:$X$1,0))</f>
        <v>4.2</v>
      </c>
      <c r="E7" s="47">
        <f>INDEX(Dataset!$A$1:$X$40,MATCH($A7,Dataset!$A$1:$A$40,0),MATCH(E$5,Dataset!$A$1:$X$1,0))</f>
        <v>8.9</v>
      </c>
      <c r="F7" s="47">
        <f>INDEX(Dataset!$A$1:$X$40,MATCH($A7,Dataset!$A$1:$A$40,0),MATCH(F$5,Dataset!$A$1:$X$1,0))</f>
        <v>4.2</v>
      </c>
    </row>
    <row r="8" spans="1:7" ht="14.4" x14ac:dyDescent="0.3">
      <c r="A8" s="7" t="s">
        <v>7</v>
      </c>
      <c r="B8" s="47">
        <f>INDEX(Dataset!$A$1:$X$40,MATCH($A8,Dataset!$A$1:$A$40,0),MATCH(B$5,Dataset!$A$1:$X$1,0))</f>
        <v>3.6</v>
      </c>
      <c r="C8" s="47">
        <f>INDEX(Dataset!$A$1:$X$40,MATCH($A8,Dataset!$A$1:$A$40,0),MATCH(C$5,Dataset!$A$1:$X$1,0))</f>
        <v>11.1</v>
      </c>
      <c r="D8" s="47">
        <f>INDEX(Dataset!$A$1:$X$40,MATCH($A8,Dataset!$A$1:$A$40,0),MATCH(D$5,Dataset!$A$1:$X$1,0))</f>
        <v>5.8</v>
      </c>
      <c r="E8" s="47">
        <f>INDEX(Dataset!$A$1:$X$40,MATCH($A8,Dataset!$A$1:$A$40,0),MATCH(E$5,Dataset!$A$1:$X$1,0))</f>
        <v>12.2</v>
      </c>
      <c r="F8" s="47">
        <f>INDEX(Dataset!$A$1:$X$40,MATCH($A8,Dataset!$A$1:$A$40,0),MATCH(F$5,Dataset!$A$1:$X$1,0))</f>
        <v>5.8</v>
      </c>
    </row>
    <row r="9" spans="1:7" ht="14.4" x14ac:dyDescent="0.3">
      <c r="A9" s="7" t="s">
        <v>8</v>
      </c>
      <c r="B9" s="47">
        <f>INDEX(Dataset!$A$1:$X$40,MATCH($A9,Dataset!$A$1:$A$40,0),MATCH(B$5,Dataset!$A$1:$X$1,0))</f>
        <v>4.9000000000000004</v>
      </c>
      <c r="C9" s="47">
        <f>INDEX(Dataset!$A$1:$X$40,MATCH($A9,Dataset!$A$1:$A$40,0),MATCH(C$5,Dataset!$A$1:$X$1,0))</f>
        <v>13.3</v>
      </c>
      <c r="D9" s="47">
        <f>INDEX(Dataset!$A$1:$X$40,MATCH($A9,Dataset!$A$1:$A$40,0),MATCH(D$5,Dataset!$A$1:$X$1,0))</f>
        <v>8.1</v>
      </c>
      <c r="E9" s="47">
        <f>INDEX(Dataset!$A$1:$X$40,MATCH($A9,Dataset!$A$1:$A$40,0),MATCH(E$5,Dataset!$A$1:$X$1,0))</f>
        <v>17</v>
      </c>
      <c r="F9" s="47">
        <f>INDEX(Dataset!$A$1:$X$40,MATCH($A9,Dataset!$A$1:$A$40,0),MATCH(F$5,Dataset!$A$1:$X$1,0))</f>
        <v>8.1</v>
      </c>
    </row>
    <row r="10" spans="1:7" ht="14.4" x14ac:dyDescent="0.3">
      <c r="A10" s="7" t="s">
        <v>11</v>
      </c>
      <c r="B10" s="47">
        <f>INDEX(Dataset!$A$1:$X$40,MATCH($A10,Dataset!$A$1:$A$40,0),MATCH(B$5,Dataset!$A$1:$X$1,0))</f>
        <v>9.4</v>
      </c>
      <c r="C10" s="47">
        <f>INDEX(Dataset!$A$1:$X$40,MATCH($A10,Dataset!$A$1:$A$40,0),MATCH(C$5,Dataset!$A$1:$X$1,0))</f>
        <v>28.3</v>
      </c>
      <c r="D10" s="47">
        <f>INDEX(Dataset!$A$1:$X$40,MATCH($A10,Dataset!$A$1:$A$40,0),MATCH(D$5,Dataset!$A$1:$X$1,0))</f>
        <v>16.100000000000001</v>
      </c>
      <c r="E10" s="47">
        <f>INDEX(Dataset!$A$1:$X$40,MATCH($A10,Dataset!$A$1:$A$40,0),MATCH(E$5,Dataset!$A$1:$X$1,0))</f>
        <v>32.799999999999997</v>
      </c>
      <c r="F10" s="47">
        <f>INDEX(Dataset!$A$1:$X$40,MATCH($A10,Dataset!$A$1:$A$40,0),MATCH(F$5,Dataset!$A$1:$X$1,0))</f>
        <v>16.100000000000001</v>
      </c>
    </row>
    <row r="11" spans="1:7" ht="14.4" x14ac:dyDescent="0.3">
      <c r="A11" s="7" t="s">
        <v>12</v>
      </c>
      <c r="B11" s="47">
        <f>INDEX(Dataset!$A$1:$X$40,MATCH($A11,Dataset!$A$1:$A$40,0),MATCH(B$5,Dataset!$A$1:$X$1,0))</f>
        <v>11.6</v>
      </c>
      <c r="C11" s="47">
        <f>INDEX(Dataset!$A$1:$X$40,MATCH($A11,Dataset!$A$1:$A$40,0),MATCH(C$5,Dataset!$A$1:$X$1,0))</f>
        <v>35.200000000000003</v>
      </c>
      <c r="D11" s="47">
        <f>INDEX(Dataset!$A$1:$X$40,MATCH($A11,Dataset!$A$1:$A$40,0),MATCH(D$5,Dataset!$A$1:$X$1,0))</f>
        <v>21.3</v>
      </c>
      <c r="E11" s="47">
        <f>INDEX(Dataset!$A$1:$X$40,MATCH($A11,Dataset!$A$1:$A$40,0),MATCH(E$5,Dataset!$A$1:$X$1,0))</f>
        <v>43</v>
      </c>
      <c r="F11" s="47">
        <f>INDEX(Dataset!$A$1:$X$40,MATCH($A11,Dataset!$A$1:$A$40,0),MATCH(F$5,Dataset!$A$1:$X$1,0))</f>
        <v>21.3</v>
      </c>
    </row>
    <row r="12" spans="1:7" ht="14.4" x14ac:dyDescent="0.3">
      <c r="A12" s="7" t="s">
        <v>14</v>
      </c>
      <c r="B12" s="47">
        <f>INDEX(Dataset!$A$1:$X$40,MATCH($A12,Dataset!$A$1:$A$40,0),MATCH(B$5,Dataset!$A$1:$X$1,0))</f>
        <v>18.399999999999999</v>
      </c>
      <c r="C12" s="47">
        <f>INDEX(Dataset!$A$1:$X$40,MATCH($A12,Dataset!$A$1:$A$40,0),MATCH(C$5,Dataset!$A$1:$X$1,0))</f>
        <v>55.6</v>
      </c>
      <c r="D12" s="47">
        <f>INDEX(Dataset!$A$1:$X$40,MATCH($A12,Dataset!$A$1:$A$40,0),MATCH(D$5,Dataset!$A$1:$X$1,0))</f>
        <v>33.799999999999997</v>
      </c>
      <c r="E12" s="47">
        <f>INDEX(Dataset!$A$1:$X$40,MATCH($A12,Dataset!$A$1:$A$40,0),MATCH(E$5,Dataset!$A$1:$X$1,0))</f>
        <v>67.900000000000006</v>
      </c>
      <c r="F12" s="47">
        <f>INDEX(Dataset!$A$1:$X$40,MATCH($A12,Dataset!$A$1:$A$40,0),MATCH(F$5,Dataset!$A$1:$X$1,0))</f>
        <v>33.799999999999997</v>
      </c>
    </row>
    <row r="13" spans="1:7" ht="14.4" x14ac:dyDescent="0.3">
      <c r="A13" s="7" t="s">
        <v>15</v>
      </c>
      <c r="B13" s="47">
        <f>INDEX(Dataset!$A$1:$X$40,MATCH($A13,Dataset!$A$1:$A$40,0),MATCH(B$5,Dataset!$A$1:$X$1,0))</f>
        <v>0</v>
      </c>
      <c r="C13" s="47">
        <f>INDEX(Dataset!$A$1:$X$40,MATCH($A13,Dataset!$A$1:$A$40,0),MATCH(C$5,Dataset!$A$1:$X$1,0))</f>
        <v>0</v>
      </c>
      <c r="D13" s="47">
        <f>INDEX(Dataset!$A$1:$X$40,MATCH($A13,Dataset!$A$1:$A$40,0),MATCH(D$5,Dataset!$A$1:$X$1,0))</f>
        <v>0</v>
      </c>
      <c r="E13" s="47">
        <f>INDEX(Dataset!$A$1:$X$40,MATCH($A13,Dataset!$A$1:$A$40,0),MATCH(E$5,Dataset!$A$1:$X$1,0))</f>
        <v>0</v>
      </c>
      <c r="F13" s="47">
        <f>INDEX(Dataset!$A$1:$X$40,MATCH($A13,Dataset!$A$1:$A$40,0),MATCH(F$5,Dataset!$A$1:$X$1,0))</f>
        <v>0</v>
      </c>
    </row>
    <row r="14" spans="1:7" ht="14.4" x14ac:dyDescent="0.3">
      <c r="A14" s="7" t="s">
        <v>16</v>
      </c>
      <c r="B14" s="47">
        <f>INDEX(Dataset!$A$1:$X$40,MATCH($A14,Dataset!$A$1:$A$40,0),MATCH(B$5,Dataset!$A$1:$X$1,0))</f>
        <v>21.9</v>
      </c>
      <c r="C14" s="47">
        <f>INDEX(Dataset!$A$1:$X$40,MATCH($A14,Dataset!$A$1:$A$40,0),MATCH(C$5,Dataset!$A$1:$X$1,0))</f>
        <v>61.5</v>
      </c>
      <c r="D14" s="47">
        <f>INDEX(Dataset!$A$1:$X$40,MATCH($A14,Dataset!$A$1:$A$40,0),MATCH(D$5,Dataset!$A$1:$X$1,0))</f>
        <v>40.1</v>
      </c>
      <c r="E14" s="47">
        <f>INDEX(Dataset!$A$1:$X$40,MATCH($A14,Dataset!$A$1:$A$40,0),MATCH(E$5,Dataset!$A$1:$X$1,0))</f>
        <v>76.599999999999994</v>
      </c>
      <c r="F14" s="47">
        <f>INDEX(Dataset!$A$1:$X$40,MATCH($A14,Dataset!$A$1:$A$40,0),MATCH(F$5,Dataset!$A$1:$X$1,0))</f>
        <v>40.1</v>
      </c>
    </row>
    <row r="15" spans="1:7" ht="14.4" x14ac:dyDescent="0.3">
      <c r="A15" s="7" t="s">
        <v>18</v>
      </c>
      <c r="B15" s="47">
        <f>INDEX(Dataset!$A$1:$X$40,MATCH($A15,Dataset!$A$1:$A$40,0),MATCH(B$5,Dataset!$A$1:$X$1,0))</f>
        <v>26.8</v>
      </c>
      <c r="C15" s="47">
        <f>INDEX(Dataset!$A$1:$X$40,MATCH($A15,Dataset!$A$1:$A$40,0),MATCH(C$5,Dataset!$A$1:$X$1,0))</f>
        <v>79.599999999999994</v>
      </c>
      <c r="D15" s="47">
        <f>INDEX(Dataset!$A$1:$X$40,MATCH($A15,Dataset!$A$1:$A$40,0),MATCH(D$5,Dataset!$A$1:$X$1,0))</f>
        <v>47.9</v>
      </c>
      <c r="E15" s="47">
        <f>INDEX(Dataset!$A$1:$X$40,MATCH($A15,Dataset!$A$1:$A$40,0),MATCH(E$5,Dataset!$A$1:$X$1,0))</f>
        <v>96.8</v>
      </c>
      <c r="F15" s="47">
        <f>INDEX(Dataset!$A$1:$X$40,MATCH($A15,Dataset!$A$1:$A$40,0),MATCH(F$5,Dataset!$A$1:$X$1,0))</f>
        <v>47.9</v>
      </c>
    </row>
    <row r="16" spans="1:7" ht="14.4" x14ac:dyDescent="0.3">
      <c r="A16" s="7" t="s">
        <v>20</v>
      </c>
      <c r="B16" s="47">
        <f>INDEX(Dataset!$A$1:$X$40,MATCH($A16,Dataset!$A$1:$A$40,0),MATCH(B$5,Dataset!$A$1:$X$1,0))</f>
        <v>28.5</v>
      </c>
      <c r="C16" s="47">
        <f>INDEX(Dataset!$A$1:$X$40,MATCH($A16,Dataset!$A$1:$A$40,0),MATCH(C$5,Dataset!$A$1:$X$1,0))</f>
        <v>85.4</v>
      </c>
      <c r="D16" s="47">
        <f>INDEX(Dataset!$A$1:$X$40,MATCH($A16,Dataset!$A$1:$A$40,0),MATCH(D$5,Dataset!$A$1:$X$1,0))</f>
        <v>52.3</v>
      </c>
      <c r="E16" s="47">
        <f>INDEX(Dataset!$A$1:$X$40,MATCH($A16,Dataset!$A$1:$A$40,0),MATCH(E$5,Dataset!$A$1:$X$1,0))</f>
        <v>106.1</v>
      </c>
      <c r="F16" s="47">
        <f>INDEX(Dataset!$A$1:$X$40,MATCH($A16,Dataset!$A$1:$A$40,0),MATCH(F$5,Dataset!$A$1:$X$1,0))</f>
        <v>52.3</v>
      </c>
    </row>
    <row r="17" spans="1:6" ht="14.4" x14ac:dyDescent="0.3">
      <c r="A17" s="7" t="s">
        <v>22</v>
      </c>
      <c r="B17" s="47">
        <f>INDEX(Dataset!$A$1:$X$40,MATCH($A17,Dataset!$A$1:$A$40,0),MATCH(B$5,Dataset!$A$1:$X$1,0))</f>
        <v>30.7</v>
      </c>
      <c r="C17" s="47">
        <f>INDEX(Dataset!$A$1:$X$40,MATCH($A17,Dataset!$A$1:$A$40,0),MATCH(C$5,Dataset!$A$1:$X$1,0))</f>
        <v>92.1</v>
      </c>
      <c r="D17" s="47">
        <f>INDEX(Dataset!$A$1:$X$40,MATCH($A17,Dataset!$A$1:$A$40,0),MATCH(D$5,Dataset!$A$1:$X$1,0))</f>
        <v>57</v>
      </c>
      <c r="E17" s="47">
        <f>INDEX(Dataset!$A$1:$X$40,MATCH($A17,Dataset!$A$1:$A$40,0),MATCH(E$5,Dataset!$A$1:$X$1,0))</f>
        <v>115.1</v>
      </c>
      <c r="F17" s="47">
        <f>INDEX(Dataset!$A$1:$X$40,MATCH($A17,Dataset!$A$1:$A$40,0),MATCH(F$5,Dataset!$A$1:$X$1,0))</f>
        <v>57</v>
      </c>
    </row>
    <row r="18" spans="1:6" ht="14.4" x14ac:dyDescent="0.3">
      <c r="A18" s="7" t="s">
        <v>23</v>
      </c>
      <c r="B18" s="47">
        <f>INDEX(Dataset!$A$1:$X$40,MATCH($A18,Dataset!$A$1:$A$40,0),MATCH(B$5,Dataset!$A$1:$X$1,0))</f>
        <v>33.799999999999997</v>
      </c>
      <c r="C18" s="47">
        <f>INDEX(Dataset!$A$1:$X$40,MATCH($A18,Dataset!$A$1:$A$40,0),MATCH(C$5,Dataset!$A$1:$X$1,0))</f>
        <v>101.3</v>
      </c>
      <c r="D18" s="47">
        <f>INDEX(Dataset!$A$1:$X$40,MATCH($A18,Dataset!$A$1:$A$40,0),MATCH(D$5,Dataset!$A$1:$X$1,0))</f>
        <v>61.4</v>
      </c>
      <c r="E18" s="47">
        <f>INDEX(Dataset!$A$1:$X$40,MATCH($A18,Dataset!$A$1:$A$40,0),MATCH(E$5,Dataset!$A$1:$X$1,0))</f>
        <v>124.4</v>
      </c>
      <c r="F18" s="47">
        <f>INDEX(Dataset!$A$1:$X$40,MATCH($A18,Dataset!$A$1:$A$40,0),MATCH(F$5,Dataset!$A$1:$X$1,0))</f>
        <v>61.4</v>
      </c>
    </row>
    <row r="19" spans="1:6" ht="14.4" x14ac:dyDescent="0.3">
      <c r="A19" s="7" t="s">
        <v>24</v>
      </c>
      <c r="B19" s="47">
        <f>INDEX(Dataset!$A$1:$X$40,MATCH($A19,Dataset!$A$1:$A$40,0),MATCH(B$5,Dataset!$A$1:$X$1,0))</f>
        <v>34.700000000000003</v>
      </c>
      <c r="C19" s="47">
        <f>INDEX(Dataset!$A$1:$X$40,MATCH($A19,Dataset!$A$1:$A$40,0),MATCH(C$5,Dataset!$A$1:$X$1,0))</f>
        <v>106.1</v>
      </c>
      <c r="D19" s="47">
        <f>INDEX(Dataset!$A$1:$X$40,MATCH($A19,Dataset!$A$1:$A$40,0),MATCH(D$5,Dataset!$A$1:$X$1,0))</f>
        <v>63.6</v>
      </c>
      <c r="E19" s="47">
        <f>INDEX(Dataset!$A$1:$X$40,MATCH($A19,Dataset!$A$1:$A$40,0),MATCH(E$5,Dataset!$A$1:$X$1,0))</f>
        <v>128.6</v>
      </c>
      <c r="F19" s="47">
        <f>INDEX(Dataset!$A$1:$X$40,MATCH($A19,Dataset!$A$1:$A$40,0),MATCH(F$5,Dataset!$A$1:$X$1,0))</f>
        <v>63.6</v>
      </c>
    </row>
    <row r="20" spans="1:6" ht="14.4" x14ac:dyDescent="0.3">
      <c r="A20" s="7" t="s">
        <v>28</v>
      </c>
      <c r="B20" s="47">
        <f>INDEX(Dataset!$A$1:$X$40,MATCH($A20,Dataset!$A$1:$A$40,0),MATCH(B$5,Dataset!$A$1:$X$1,0))</f>
        <v>0</v>
      </c>
      <c r="C20" s="47">
        <f>INDEX(Dataset!$A$1:$X$40,MATCH($A20,Dataset!$A$1:$A$40,0),MATCH(C$5,Dataset!$A$1:$X$1,0))</f>
        <v>0</v>
      </c>
      <c r="D20" s="47">
        <f>INDEX(Dataset!$A$1:$X$40,MATCH($A20,Dataset!$A$1:$A$40,0),MATCH(D$5,Dataset!$A$1:$X$1,0))</f>
        <v>0</v>
      </c>
      <c r="E20" s="47">
        <f>INDEX(Dataset!$A$1:$X$40,MATCH($A20,Dataset!$A$1:$A$40,0),MATCH(E$5,Dataset!$A$1:$X$1,0))</f>
        <v>0</v>
      </c>
      <c r="F20" s="47">
        <f>INDEX(Dataset!$A$1:$X$40,MATCH($A20,Dataset!$A$1:$A$40,0),MATCH(F$5,Dataset!$A$1:$X$1,0))</f>
        <v>0</v>
      </c>
    </row>
    <row r="21" spans="1:6" ht="14.4" x14ac:dyDescent="0.3">
      <c r="A21" s="7" t="s">
        <v>57</v>
      </c>
      <c r="B21" s="47">
        <f>INDEX(Dataset!$A$1:$X$40,MATCH($A21,Dataset!$A$1:$A$40,0),MATCH(B$5,Dataset!$A$1:$X$1,0))</f>
        <v>41.3</v>
      </c>
      <c r="C21" s="47">
        <f>INDEX(Dataset!$A$1:$X$40,MATCH($A21,Dataset!$A$1:$A$40,0),MATCH(C$5,Dataset!$A$1:$X$1,0))</f>
        <v>124.4</v>
      </c>
      <c r="D21" s="47">
        <f>INDEX(Dataset!$A$1:$X$40,MATCH($A21,Dataset!$A$1:$A$40,0),MATCH(D$5,Dataset!$A$1:$X$1,0))</f>
        <v>75</v>
      </c>
      <c r="E21" s="47">
        <f>INDEX(Dataset!$A$1:$X$40,MATCH($A21,Dataset!$A$1:$A$40,0),MATCH(E$5,Dataset!$A$1:$X$1,0))</f>
        <v>151.5</v>
      </c>
      <c r="F21" s="47">
        <f>INDEX(Dataset!$A$1:$X$40,MATCH($A21,Dataset!$A$1:$A$40,0),MATCH(F$5,Dataset!$A$1:$X$1,0))</f>
        <v>75</v>
      </c>
    </row>
    <row r="22" spans="1:6" ht="14.4" x14ac:dyDescent="0.3">
      <c r="A22" s="7" t="s">
        <v>58</v>
      </c>
      <c r="B22" s="47">
        <f>INDEX(Dataset!$A$1:$X$40,MATCH($A22,Dataset!$A$1:$A$40,0),MATCH(B$5,Dataset!$A$1:$X$1,0))</f>
        <v>-1</v>
      </c>
      <c r="C22" s="47">
        <f>INDEX(Dataset!$A$1:$X$40,MATCH($A22,Dataset!$A$1:$A$40,0),MATCH(C$5,Dataset!$A$1:$X$1,0))</f>
        <v>-1</v>
      </c>
      <c r="D22" s="47">
        <f>INDEX(Dataset!$A$1:$X$40,MATCH($A22,Dataset!$A$1:$A$40,0),MATCH(D$5,Dataset!$A$1:$X$1,0))</f>
        <v>-1</v>
      </c>
      <c r="E22" s="47">
        <f>INDEX(Dataset!$A$1:$X$40,MATCH($A22,Dataset!$A$1:$A$40,0),MATCH(E$5,Dataset!$A$1:$X$1,0))</f>
        <v>-1</v>
      </c>
      <c r="F22" s="47">
        <f>INDEX(Dataset!$A$1:$X$40,MATCH($A22,Dataset!$A$1:$A$40,0),MATCH(F$5,Dataset!$A$1:$X$1,0))</f>
        <v>-1</v>
      </c>
    </row>
    <row r="23" spans="1:6" ht="14.4" x14ac:dyDescent="0.3">
      <c r="A23" s="7" t="s">
        <v>31</v>
      </c>
      <c r="B23" s="47">
        <f>INDEX(Dataset!$A$1:$X$40,MATCH($A23,Dataset!$A$1:$A$40,0),MATCH(B$5,Dataset!$A$1:$X$1,0))</f>
        <v>45</v>
      </c>
      <c r="C23" s="47">
        <f>INDEX(Dataset!$A$1:$X$40,MATCH($A23,Dataset!$A$1:$A$40,0),MATCH(C$5,Dataset!$A$1:$X$1,0))</f>
        <v>133.4</v>
      </c>
      <c r="D23" s="47">
        <f>INDEX(Dataset!$A$1:$X$40,MATCH($A23,Dataset!$A$1:$A$40,0),MATCH(D$5,Dataset!$A$1:$X$1,0))</f>
        <v>79.400000000000006</v>
      </c>
      <c r="E23" s="47">
        <f>INDEX(Dataset!$A$1:$X$40,MATCH($A23,Dataset!$A$1:$A$40,0),MATCH(E$5,Dataset!$A$1:$X$1,0))</f>
        <v>160.9</v>
      </c>
      <c r="F23" s="47">
        <f>INDEX(Dataset!$A$1:$X$40,MATCH($A23,Dataset!$A$1:$A$40,0),MATCH(F$5,Dataset!$A$1:$X$1,0))</f>
        <v>79.400000000000006</v>
      </c>
    </row>
    <row r="24" spans="1:6" ht="14.4" x14ac:dyDescent="0.3">
      <c r="A24" s="7" t="s">
        <v>32</v>
      </c>
      <c r="B24" s="47">
        <f>INDEX(Dataset!$A$1:$X$40,MATCH($A24,Dataset!$A$1:$A$40,0),MATCH(B$5,Dataset!$A$1:$X$1,0))</f>
        <v>-1</v>
      </c>
      <c r="C24" s="47">
        <f>INDEX(Dataset!$A$1:$X$40,MATCH($A24,Dataset!$A$1:$A$40,0),MATCH(C$5,Dataset!$A$1:$X$1,0))</f>
        <v>-1</v>
      </c>
      <c r="D24" s="47">
        <f>INDEX(Dataset!$A$1:$X$40,MATCH($A24,Dataset!$A$1:$A$40,0),MATCH(D$5,Dataset!$A$1:$X$1,0))</f>
        <v>-1</v>
      </c>
      <c r="E24" s="47">
        <f>INDEX(Dataset!$A$1:$X$40,MATCH($A24,Dataset!$A$1:$A$40,0),MATCH(E$5,Dataset!$A$1:$X$1,0))</f>
        <v>-1</v>
      </c>
      <c r="F24" s="47">
        <f>INDEX(Dataset!$A$1:$X$40,MATCH($A24,Dataset!$A$1:$A$40,0),MATCH(F$5,Dataset!$A$1:$X$1,0))</f>
        <v>-1</v>
      </c>
    </row>
    <row r="25" spans="1:6" ht="14.4" x14ac:dyDescent="0.3">
      <c r="A25" s="7" t="s">
        <v>34</v>
      </c>
      <c r="B25" s="47">
        <f>INDEX(Dataset!$A$1:$X$40,MATCH($A25,Dataset!$A$1:$A$40,0),MATCH(B$5,Dataset!$A$1:$X$1,0))</f>
        <v>43.3</v>
      </c>
      <c r="C25" s="47">
        <f>INDEX(Dataset!$A$1:$X$40,MATCH($A25,Dataset!$A$1:$A$40,0),MATCH(C$5,Dataset!$A$1:$X$1,0))</f>
        <v>128.6</v>
      </c>
      <c r="D25" s="47">
        <f>INDEX(Dataset!$A$1:$X$40,MATCH($A25,Dataset!$A$1:$A$40,0),MATCH(D$5,Dataset!$A$1:$X$1,0))</f>
        <v>79.400000000000006</v>
      </c>
      <c r="E25" s="47">
        <f>INDEX(Dataset!$A$1:$X$40,MATCH($A25,Dataset!$A$1:$A$40,0),MATCH(E$5,Dataset!$A$1:$X$1,0))</f>
        <v>160.9</v>
      </c>
      <c r="F25" s="47">
        <f>INDEX(Dataset!$A$1:$X$40,MATCH($A25,Dataset!$A$1:$A$40,0),MATCH(F$5,Dataset!$A$1:$X$1,0))</f>
        <v>79.400000000000006</v>
      </c>
    </row>
    <row r="26" spans="1:6" ht="14.4" x14ac:dyDescent="0.3">
      <c r="A26" s="7" t="s">
        <v>37</v>
      </c>
      <c r="B26" s="47">
        <f>INDEX(Dataset!$A$1:$X$40,MATCH($A26,Dataset!$A$1:$A$40,0),MATCH(B$5,Dataset!$A$1:$X$1,0))</f>
        <v>49.1</v>
      </c>
      <c r="C26" s="47">
        <f>INDEX(Dataset!$A$1:$X$40,MATCH($A26,Dataset!$A$1:$A$40,0),MATCH(C$5,Dataset!$A$1:$X$1,0))</f>
        <v>146.80000000000001</v>
      </c>
      <c r="D26" s="47">
        <f>INDEX(Dataset!$A$1:$X$40,MATCH($A26,Dataset!$A$1:$A$40,0),MATCH(D$5,Dataset!$A$1:$X$1,0))</f>
        <v>90.9</v>
      </c>
      <c r="E26" s="47">
        <f>INDEX(Dataset!$A$1:$X$40,MATCH($A26,Dataset!$A$1:$A$40,0),MATCH(E$5,Dataset!$A$1:$X$1,0))</f>
        <v>183.5</v>
      </c>
      <c r="F26" s="47">
        <f>INDEX(Dataset!$A$1:$X$40,MATCH($A26,Dataset!$A$1:$A$40,0),MATCH(F$5,Dataset!$A$1:$X$1,0))</f>
        <v>90.9</v>
      </c>
    </row>
    <row r="27" spans="1:6" ht="14.4" x14ac:dyDescent="0.3">
      <c r="A27" s="7" t="s">
        <v>39</v>
      </c>
      <c r="B27" s="47">
        <f>INDEX(Dataset!$A$1:$X$40,MATCH($A27,Dataset!$A$1:$A$40,0),MATCH(B$5,Dataset!$A$1:$X$1,0))</f>
        <v>51.8</v>
      </c>
      <c r="C27" s="47">
        <f>INDEX(Dataset!$A$1:$X$40,MATCH($A27,Dataset!$A$1:$A$40,0),MATCH(C$5,Dataset!$A$1:$X$1,0))</f>
        <v>156.4</v>
      </c>
      <c r="D27" s="47">
        <f>INDEX(Dataset!$A$1:$X$40,MATCH($A27,Dataset!$A$1:$A$40,0),MATCH(D$5,Dataset!$A$1:$X$1,0))</f>
        <v>93.1</v>
      </c>
      <c r="E27" s="47">
        <f>INDEX(Dataset!$A$1:$X$40,MATCH($A27,Dataset!$A$1:$A$40,0),MATCH(E$5,Dataset!$A$1:$X$1,0))</f>
        <v>188.1</v>
      </c>
      <c r="F27" s="47">
        <f>INDEX(Dataset!$A$1:$X$40,MATCH($A27,Dataset!$A$1:$A$40,0),MATCH(F$5,Dataset!$A$1:$X$1,0))</f>
        <v>93.1</v>
      </c>
    </row>
    <row r="28" spans="1:6" ht="14.4" x14ac:dyDescent="0.3">
      <c r="A28" s="17" t="s">
        <v>82</v>
      </c>
      <c r="B28" s="47">
        <f>MIN(B6:B$27)</f>
        <v>-1</v>
      </c>
      <c r="C28" s="47">
        <f>MIN(C6:C$27)</f>
        <v>-1</v>
      </c>
      <c r="D28" s="47">
        <f>MIN(D6:D$27)</f>
        <v>-1</v>
      </c>
      <c r="E28" s="47">
        <f>MIN(E6:E$27)</f>
        <v>-1</v>
      </c>
      <c r="F28" s="47">
        <f>MIN(F6:F$27)</f>
        <v>-1</v>
      </c>
    </row>
    <row r="29" spans="1:6" ht="14.4" x14ac:dyDescent="0.3">
      <c r="A29" s="17" t="s">
        <v>83</v>
      </c>
      <c r="B29" s="29">
        <f>MAX(B6:B$27)</f>
        <v>51.8</v>
      </c>
      <c r="C29" s="48">
        <f>MAX(C6:C$27)</f>
        <v>156.4</v>
      </c>
      <c r="D29" s="48">
        <f>MAX(D6:D$27)</f>
        <v>93.1</v>
      </c>
      <c r="E29" s="48">
        <f>MAX(E6:E$27)</f>
        <v>188.1</v>
      </c>
      <c r="F29" s="48">
        <f>MAX(F6:F$27)</f>
        <v>93.1</v>
      </c>
    </row>
    <row r="30" spans="1:6" ht="14.4" x14ac:dyDescent="0.3">
      <c r="A30" s="17" t="s">
        <v>84</v>
      </c>
      <c r="B30" s="52">
        <f>AVERAGE(B6:B27)</f>
        <v>20.827272727272728</v>
      </c>
      <c r="C30" s="52">
        <f>AVERAGE(C6:C27)</f>
        <v>62.377272727272725</v>
      </c>
      <c r="D30" s="52">
        <f t="shared" ref="C30:F30" si="0">AVERAGE(D6:D27)</f>
        <v>37.800000000000004</v>
      </c>
      <c r="E30" s="52">
        <f t="shared" si="0"/>
        <v>76.418181818181822</v>
      </c>
      <c r="F30" s="52">
        <f t="shared" si="0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5"/>
  <sheetViews>
    <sheetView topLeftCell="A5" zoomScaleNormal="100" workbookViewId="0">
      <selection activeCell="I17" sqref="I17"/>
    </sheetView>
  </sheetViews>
  <sheetFormatPr defaultColWidth="11" defaultRowHeight="14.4" x14ac:dyDescent="0.3"/>
  <cols>
    <col min="1" max="1" width="39.77734375" style="1" bestFit="1" customWidth="1"/>
    <col min="2" max="2" width="19.33203125" style="1" customWidth="1"/>
    <col min="3" max="3" width="13.44140625" style="1" customWidth="1"/>
    <col min="4" max="4" width="17.21875" style="1" customWidth="1"/>
    <col min="5" max="5" width="12.77734375" style="1" customWidth="1"/>
    <col min="6" max="6" width="13.5546875" style="1" customWidth="1"/>
    <col min="7" max="16384" width="11" style="1"/>
  </cols>
  <sheetData>
    <row r="1" spans="1:10" s="39" customFormat="1" ht="21" x14ac:dyDescent="0.4">
      <c r="A1" s="40" t="s">
        <v>56</v>
      </c>
      <c r="B1" s="39" t="s">
        <v>136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113</v>
      </c>
    </row>
    <row r="5" spans="1:10" ht="18" x14ac:dyDescent="0.35">
      <c r="A5" s="41" t="s">
        <v>53</v>
      </c>
      <c r="B5" s="38" t="s">
        <v>181</v>
      </c>
      <c r="C5" s="1" t="s">
        <v>182</v>
      </c>
      <c r="D5" s="1" t="s">
        <v>185</v>
      </c>
      <c r="E5" s="1" t="s">
        <v>184</v>
      </c>
      <c r="F5" s="1" t="s">
        <v>183</v>
      </c>
    </row>
    <row r="6" spans="1:10" ht="18" x14ac:dyDescent="0.35">
      <c r="A6" s="41" t="s">
        <v>115</v>
      </c>
      <c r="B6" s="50"/>
    </row>
    <row r="7" spans="1:10" ht="18" x14ac:dyDescent="0.35">
      <c r="A7" s="41"/>
      <c r="B7" s="38"/>
    </row>
    <row r="9" spans="1:10" ht="23.4" x14ac:dyDescent="0.45">
      <c r="A9" s="16" t="s">
        <v>127</v>
      </c>
      <c r="I9" s="2"/>
      <c r="J9" s="2"/>
    </row>
    <row r="10" spans="1:10" x14ac:dyDescent="0.3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8" t="s">
        <v>112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6" t="s">
        <v>124</v>
      </c>
    </row>
    <row r="15" spans="1:10" x14ac:dyDescent="0.3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">
      <c r="A16" s="7" t="s">
        <v>112</v>
      </c>
      <c r="B16" s="47" t="str">
        <f>LEFT($A16,5)</f>
        <v>20000</v>
      </c>
      <c r="C16" s="45" t="str">
        <f>MID(A16,7,6)</f>
        <v>Monday</v>
      </c>
      <c r="D16" s="47" t="str">
        <f t="shared" ref="D16:D53" si="0">MID(A16,14,1)</f>
        <v>0</v>
      </c>
      <c r="E16" s="1" t="str">
        <f>MID(A16,16,6)</f>
        <v>Sunday</v>
      </c>
      <c r="F16" s="47" t="str">
        <f t="shared" ref="F16:F55" si="1">RIGHT(A16,2)</f>
        <v>24</v>
      </c>
    </row>
    <row r="17" spans="1:6" x14ac:dyDescent="0.3">
      <c r="A17" s="46" t="s">
        <v>143</v>
      </c>
      <c r="B17" s="10" t="str">
        <f>LEFT($A17,5)</f>
        <v>20000</v>
      </c>
      <c r="C17" s="1" t="str">
        <f t="shared" ref="C16:C54" si="2">MID(A17,7,6)</f>
        <v>Monday</v>
      </c>
      <c r="D17" s="10" t="str">
        <f t="shared" si="0"/>
        <v>0</v>
      </c>
      <c r="E17" s="1" t="str">
        <f t="shared" ref="E17:E54" si="3">MID(A17,16,6)</f>
        <v>Sunday</v>
      </c>
      <c r="F17" s="47" t="str">
        <f t="shared" si="1"/>
        <v>25</v>
      </c>
    </row>
    <row r="18" spans="1:6" x14ac:dyDescent="0.3">
      <c r="A18" s="46" t="s">
        <v>144</v>
      </c>
      <c r="B18" s="10" t="str">
        <f t="shared" ref="B17:B54" si="4">LEFT($A18,5)</f>
        <v>20000</v>
      </c>
      <c r="C18" s="1" t="str">
        <f t="shared" si="2"/>
        <v>Monday</v>
      </c>
      <c r="D18" s="10" t="str">
        <f>MID(A18,14,1)</f>
        <v>0</v>
      </c>
      <c r="E18" s="1" t="str">
        <f t="shared" si="3"/>
        <v>Sunday</v>
      </c>
      <c r="F18" s="10" t="str">
        <f t="shared" si="1"/>
        <v>26</v>
      </c>
    </row>
    <row r="19" spans="1:6" x14ac:dyDescent="0.3">
      <c r="A19" s="46" t="s">
        <v>145</v>
      </c>
      <c r="B19" s="10" t="str">
        <f t="shared" si="4"/>
        <v>20000</v>
      </c>
      <c r="C19" s="1" t="str">
        <f t="shared" si="2"/>
        <v>Monday</v>
      </c>
      <c r="D19" s="10" t="str">
        <f t="shared" si="0"/>
        <v>0</v>
      </c>
      <c r="E19" s="1" t="str">
        <f t="shared" si="3"/>
        <v>Sunday</v>
      </c>
      <c r="F19" s="10" t="str">
        <f t="shared" si="1"/>
        <v>27</v>
      </c>
    </row>
    <row r="20" spans="1:6" x14ac:dyDescent="0.3">
      <c r="A20" s="46" t="s">
        <v>146</v>
      </c>
      <c r="B20" s="10" t="str">
        <f t="shared" si="4"/>
        <v>20000</v>
      </c>
      <c r="C20" s="1" t="str">
        <f t="shared" si="2"/>
        <v>Monday</v>
      </c>
      <c r="D20" s="10" t="str">
        <f t="shared" si="0"/>
        <v>0</v>
      </c>
      <c r="E20" s="1" t="str">
        <f t="shared" si="3"/>
        <v>Sunday</v>
      </c>
      <c r="F20" s="10" t="str">
        <f t="shared" si="1"/>
        <v>28</v>
      </c>
    </row>
    <row r="21" spans="1:6" x14ac:dyDescent="0.3">
      <c r="A21" s="46" t="s">
        <v>147</v>
      </c>
      <c r="B21" s="10" t="str">
        <f t="shared" si="4"/>
        <v>20000</v>
      </c>
      <c r="C21" s="1" t="str">
        <f t="shared" si="2"/>
        <v>Monday</v>
      </c>
      <c r="D21" s="10" t="str">
        <f t="shared" si="0"/>
        <v>0</v>
      </c>
      <c r="E21" s="1" t="str">
        <f t="shared" si="3"/>
        <v>Sunday</v>
      </c>
      <c r="F21" s="10" t="str">
        <f t="shared" si="1"/>
        <v>29</v>
      </c>
    </row>
    <row r="22" spans="1:6" x14ac:dyDescent="0.3">
      <c r="A22" s="46" t="s">
        <v>148</v>
      </c>
      <c r="B22" s="10" t="str">
        <f t="shared" si="4"/>
        <v>20000</v>
      </c>
      <c r="C22" s="1" t="str">
        <f t="shared" si="2"/>
        <v>Monday</v>
      </c>
      <c r="D22" s="10" t="str">
        <f t="shared" si="0"/>
        <v>0</v>
      </c>
      <c r="E22" s="1" t="str">
        <f t="shared" si="3"/>
        <v>Sunday</v>
      </c>
      <c r="F22" s="10" t="str">
        <f t="shared" si="1"/>
        <v>30</v>
      </c>
    </row>
    <row r="23" spans="1:6" x14ac:dyDescent="0.3">
      <c r="A23" s="46" t="s">
        <v>149</v>
      </c>
      <c r="B23" s="10" t="str">
        <f t="shared" si="4"/>
        <v>20000</v>
      </c>
      <c r="C23" s="1" t="str">
        <f t="shared" si="2"/>
        <v>Monday</v>
      </c>
      <c r="D23" s="10" t="str">
        <f t="shared" si="0"/>
        <v>0</v>
      </c>
      <c r="E23" s="1" t="str">
        <f t="shared" si="3"/>
        <v>Sunday</v>
      </c>
      <c r="F23" s="10" t="str">
        <f t="shared" si="1"/>
        <v>31</v>
      </c>
    </row>
    <row r="24" spans="1:6" x14ac:dyDescent="0.3">
      <c r="A24" s="46" t="s">
        <v>150</v>
      </c>
      <c r="B24" s="10" t="str">
        <f t="shared" si="4"/>
        <v>20000</v>
      </c>
      <c r="C24" s="1" t="str">
        <f t="shared" si="2"/>
        <v>Monday</v>
      </c>
      <c r="D24" s="10" t="str">
        <f t="shared" si="0"/>
        <v>0</v>
      </c>
      <c r="E24" s="1" t="str">
        <f t="shared" si="3"/>
        <v>Sunday</v>
      </c>
      <c r="F24" s="10" t="str">
        <f t="shared" si="1"/>
        <v>32</v>
      </c>
    </row>
    <row r="25" spans="1:6" x14ac:dyDescent="0.3">
      <c r="A25" s="46" t="s">
        <v>151</v>
      </c>
      <c r="B25" s="10" t="str">
        <f t="shared" si="4"/>
        <v>20000</v>
      </c>
      <c r="C25" s="1" t="str">
        <f t="shared" si="2"/>
        <v>Monday</v>
      </c>
      <c r="D25" s="10" t="str">
        <f t="shared" si="0"/>
        <v>0</v>
      </c>
      <c r="E25" s="1" t="str">
        <f t="shared" si="3"/>
        <v>Sunday</v>
      </c>
      <c r="F25" s="10" t="str">
        <f t="shared" si="1"/>
        <v>33</v>
      </c>
    </row>
    <row r="26" spans="1:6" x14ac:dyDescent="0.3">
      <c r="A26" s="46" t="s">
        <v>152</v>
      </c>
      <c r="B26" s="10" t="str">
        <f t="shared" si="4"/>
        <v>20000</v>
      </c>
      <c r="C26" s="1" t="str">
        <f t="shared" si="2"/>
        <v>Monday</v>
      </c>
      <c r="D26" s="10" t="str">
        <f t="shared" si="0"/>
        <v>0</v>
      </c>
      <c r="E26" s="1" t="str">
        <f t="shared" si="3"/>
        <v>Sunday</v>
      </c>
      <c r="F26" s="10" t="str">
        <f t="shared" si="1"/>
        <v>34</v>
      </c>
    </row>
    <row r="27" spans="1:6" x14ac:dyDescent="0.3">
      <c r="A27" s="46" t="s">
        <v>153</v>
      </c>
      <c r="B27" s="10" t="str">
        <f t="shared" si="4"/>
        <v>20000</v>
      </c>
      <c r="C27" s="1" t="str">
        <f t="shared" si="2"/>
        <v>Monday</v>
      </c>
      <c r="D27" s="10" t="str">
        <f t="shared" si="0"/>
        <v>0</v>
      </c>
      <c r="E27" s="1" t="str">
        <f t="shared" si="3"/>
        <v>Sunday</v>
      </c>
      <c r="F27" s="10" t="str">
        <f t="shared" si="1"/>
        <v>35</v>
      </c>
    </row>
    <row r="28" spans="1:6" x14ac:dyDescent="0.3">
      <c r="A28" s="46" t="s">
        <v>154</v>
      </c>
      <c r="B28" s="10" t="str">
        <f t="shared" si="4"/>
        <v>20000</v>
      </c>
      <c r="C28" s="1" t="str">
        <f t="shared" si="2"/>
        <v>Monday</v>
      </c>
      <c r="D28" s="10" t="str">
        <f t="shared" si="0"/>
        <v>0</v>
      </c>
      <c r="E28" s="1" t="str">
        <f t="shared" si="3"/>
        <v>Sunday</v>
      </c>
      <c r="F28" s="10" t="str">
        <f t="shared" si="1"/>
        <v>36</v>
      </c>
    </row>
    <row r="29" spans="1:6" x14ac:dyDescent="0.3">
      <c r="A29" s="46" t="s">
        <v>155</v>
      </c>
      <c r="B29" s="10" t="str">
        <f t="shared" si="4"/>
        <v>20000</v>
      </c>
      <c r="C29" s="1" t="str">
        <f t="shared" si="2"/>
        <v>Monday</v>
      </c>
      <c r="D29" s="10" t="str">
        <f t="shared" si="0"/>
        <v>0</v>
      </c>
      <c r="E29" s="1" t="str">
        <f t="shared" si="3"/>
        <v>Sunday</v>
      </c>
      <c r="F29" s="10" t="str">
        <f t="shared" si="1"/>
        <v>37</v>
      </c>
    </row>
    <row r="30" spans="1:6" x14ac:dyDescent="0.3">
      <c r="A30" s="46" t="s">
        <v>156</v>
      </c>
      <c r="B30" s="10" t="str">
        <f t="shared" si="4"/>
        <v>20000</v>
      </c>
      <c r="C30" s="1" t="str">
        <f t="shared" si="2"/>
        <v>Monday</v>
      </c>
      <c r="D30" s="10" t="str">
        <f t="shared" si="0"/>
        <v>0</v>
      </c>
      <c r="E30" s="1" t="str">
        <f t="shared" si="3"/>
        <v>Sunday</v>
      </c>
      <c r="F30" s="10" t="str">
        <f t="shared" si="1"/>
        <v>38</v>
      </c>
    </row>
    <row r="31" spans="1:6" x14ac:dyDescent="0.3">
      <c r="A31" s="46" t="s">
        <v>157</v>
      </c>
      <c r="B31" s="10" t="str">
        <f t="shared" si="4"/>
        <v>20000</v>
      </c>
      <c r="C31" s="1" t="str">
        <f t="shared" si="2"/>
        <v>Monday</v>
      </c>
      <c r="D31" s="10" t="str">
        <f t="shared" si="0"/>
        <v>0</v>
      </c>
      <c r="E31" s="1" t="str">
        <f t="shared" si="3"/>
        <v>Sunday</v>
      </c>
      <c r="F31" s="10" t="str">
        <f>RIGHT(A31,2)</f>
        <v>39</v>
      </c>
    </row>
    <row r="32" spans="1:6" x14ac:dyDescent="0.3">
      <c r="A32" s="46" t="s">
        <v>158</v>
      </c>
      <c r="B32" s="10" t="str">
        <f t="shared" si="4"/>
        <v>20000</v>
      </c>
      <c r="C32" s="1" t="str">
        <f t="shared" si="2"/>
        <v>Monday</v>
      </c>
      <c r="D32" s="10" t="str">
        <f t="shared" si="0"/>
        <v>0</v>
      </c>
      <c r="E32" s="1" t="str">
        <f t="shared" si="3"/>
        <v>Sunday</v>
      </c>
      <c r="F32" s="10" t="str">
        <f t="shared" si="1"/>
        <v>40</v>
      </c>
    </row>
    <row r="33" spans="1:6" x14ac:dyDescent="0.3">
      <c r="A33" s="46" t="s">
        <v>159</v>
      </c>
      <c r="B33" s="10" t="str">
        <f t="shared" si="4"/>
        <v>20000</v>
      </c>
      <c r="C33" s="1" t="str">
        <f>MID(A33,7,6)</f>
        <v>Monday</v>
      </c>
      <c r="D33" s="10" t="str">
        <f>MID(A33,14,1)</f>
        <v>0</v>
      </c>
      <c r="E33" s="1" t="str">
        <f t="shared" si="3"/>
        <v>Sunday</v>
      </c>
      <c r="F33" s="10" t="str">
        <f t="shared" si="1"/>
        <v>41</v>
      </c>
    </row>
    <row r="34" spans="1:6" x14ac:dyDescent="0.3">
      <c r="A34" s="46" t="s">
        <v>160</v>
      </c>
      <c r="B34" s="10" t="str">
        <f t="shared" si="4"/>
        <v>20000</v>
      </c>
      <c r="C34" s="1" t="str">
        <f t="shared" si="2"/>
        <v>Monday</v>
      </c>
      <c r="D34" s="10" t="str">
        <f t="shared" si="0"/>
        <v>0</v>
      </c>
      <c r="E34" s="1" t="str">
        <f t="shared" si="3"/>
        <v>Sunday</v>
      </c>
      <c r="F34" s="10" t="str">
        <f t="shared" si="1"/>
        <v>42</v>
      </c>
    </row>
    <row r="35" spans="1:6" x14ac:dyDescent="0.3">
      <c r="A35" s="46" t="s">
        <v>161</v>
      </c>
      <c r="B35" s="10" t="str">
        <f t="shared" si="4"/>
        <v>20000</v>
      </c>
      <c r="C35" s="1" t="str">
        <f t="shared" si="2"/>
        <v>Monday</v>
      </c>
      <c r="D35" s="10" t="str">
        <f t="shared" si="0"/>
        <v>0</v>
      </c>
      <c r="E35" s="1" t="str">
        <f t="shared" si="3"/>
        <v>Sunday</v>
      </c>
      <c r="F35" s="10" t="str">
        <f t="shared" si="1"/>
        <v>43</v>
      </c>
    </row>
    <row r="36" spans="1:6" x14ac:dyDescent="0.3">
      <c r="A36" s="46" t="s">
        <v>162</v>
      </c>
      <c r="B36" s="10" t="str">
        <f t="shared" si="4"/>
        <v>20000</v>
      </c>
      <c r="C36" s="1" t="str">
        <f t="shared" si="2"/>
        <v>Monday</v>
      </c>
      <c r="D36" s="10" t="str">
        <f t="shared" si="0"/>
        <v>0</v>
      </c>
      <c r="E36" s="1" t="str">
        <f t="shared" si="3"/>
        <v>Sunday</v>
      </c>
      <c r="F36" s="10" t="str">
        <f t="shared" si="1"/>
        <v>44</v>
      </c>
    </row>
    <row r="37" spans="1:6" x14ac:dyDescent="0.3">
      <c r="A37" s="46" t="s">
        <v>163</v>
      </c>
      <c r="B37" s="10" t="str">
        <f t="shared" si="4"/>
        <v>20000</v>
      </c>
      <c r="C37" s="1" t="str">
        <f t="shared" si="2"/>
        <v>Monday</v>
      </c>
      <c r="D37" s="10" t="str">
        <f t="shared" si="0"/>
        <v>0</v>
      </c>
      <c r="E37" s="1" t="str">
        <f t="shared" si="3"/>
        <v>Sunday</v>
      </c>
      <c r="F37" s="10" t="str">
        <f t="shared" si="1"/>
        <v>45</v>
      </c>
    </row>
    <row r="38" spans="1:6" x14ac:dyDescent="0.3">
      <c r="A38" s="46" t="s">
        <v>164</v>
      </c>
      <c r="B38" s="10" t="str">
        <f t="shared" si="4"/>
        <v>20000</v>
      </c>
      <c r="C38" s="1" t="str">
        <f t="shared" si="2"/>
        <v>Monday</v>
      </c>
      <c r="D38" s="10" t="str">
        <f t="shared" si="0"/>
        <v>0</v>
      </c>
      <c r="E38" s="1" t="str">
        <f t="shared" si="3"/>
        <v>Sunday</v>
      </c>
      <c r="F38" s="10" t="str">
        <f t="shared" si="1"/>
        <v>46</v>
      </c>
    </row>
    <row r="39" spans="1:6" x14ac:dyDescent="0.3">
      <c r="A39" s="46" t="s">
        <v>165</v>
      </c>
      <c r="B39" s="10" t="str">
        <f t="shared" si="4"/>
        <v>20000</v>
      </c>
      <c r="C39" s="1" t="str">
        <f t="shared" si="2"/>
        <v>Monday</v>
      </c>
      <c r="D39" s="10" t="str">
        <f t="shared" si="0"/>
        <v>0</v>
      </c>
      <c r="E39" s="1" t="str">
        <f t="shared" si="3"/>
        <v>Sunday</v>
      </c>
      <c r="F39" s="10" t="str">
        <f t="shared" si="1"/>
        <v>47</v>
      </c>
    </row>
    <row r="40" spans="1:6" x14ac:dyDescent="0.3">
      <c r="A40" s="46" t="s">
        <v>166</v>
      </c>
      <c r="B40" s="10" t="str">
        <f t="shared" si="4"/>
        <v>20000</v>
      </c>
      <c r="C40" s="1" t="str">
        <f t="shared" si="2"/>
        <v>Monday</v>
      </c>
      <c r="D40" s="10" t="str">
        <f t="shared" si="0"/>
        <v>0</v>
      </c>
      <c r="E40" s="1" t="str">
        <f t="shared" si="3"/>
        <v>Sunday</v>
      </c>
      <c r="F40" s="10" t="str">
        <f t="shared" si="1"/>
        <v>48</v>
      </c>
    </row>
    <row r="41" spans="1:6" x14ac:dyDescent="0.3">
      <c r="A41" s="46" t="s">
        <v>167</v>
      </c>
      <c r="B41" s="10" t="str">
        <f t="shared" si="4"/>
        <v>20000</v>
      </c>
      <c r="C41" s="1" t="str">
        <f t="shared" si="2"/>
        <v>Monday</v>
      </c>
      <c r="D41" s="10" t="str">
        <f t="shared" si="0"/>
        <v>0</v>
      </c>
      <c r="E41" s="1" t="str">
        <f t="shared" si="3"/>
        <v>Sunday</v>
      </c>
      <c r="F41" s="10" t="str">
        <f t="shared" si="1"/>
        <v>49</v>
      </c>
    </row>
    <row r="42" spans="1:6" x14ac:dyDescent="0.3">
      <c r="A42" s="46" t="s">
        <v>168</v>
      </c>
      <c r="B42" s="10" t="str">
        <f t="shared" si="4"/>
        <v>20000</v>
      </c>
      <c r="C42" s="1" t="str">
        <f t="shared" si="2"/>
        <v>Monday</v>
      </c>
      <c r="D42" s="10" t="str">
        <f t="shared" si="0"/>
        <v>0</v>
      </c>
      <c r="E42" s="1" t="str">
        <f t="shared" si="3"/>
        <v>Sunday</v>
      </c>
      <c r="F42" s="10" t="str">
        <f t="shared" si="1"/>
        <v>50</v>
      </c>
    </row>
    <row r="43" spans="1:6" x14ac:dyDescent="0.3">
      <c r="A43" s="46" t="s">
        <v>169</v>
      </c>
      <c r="B43" s="10" t="str">
        <f t="shared" si="4"/>
        <v>20000</v>
      </c>
      <c r="C43" s="1" t="str">
        <f t="shared" si="2"/>
        <v>Monday</v>
      </c>
      <c r="D43" s="10" t="str">
        <f t="shared" si="0"/>
        <v>0</v>
      </c>
      <c r="E43" s="1" t="str">
        <f t="shared" si="3"/>
        <v>Sunday</v>
      </c>
      <c r="F43" s="10" t="str">
        <f t="shared" si="1"/>
        <v>51</v>
      </c>
    </row>
    <row r="44" spans="1:6" x14ac:dyDescent="0.3">
      <c r="A44" s="46" t="s">
        <v>170</v>
      </c>
      <c r="B44" s="10" t="str">
        <f t="shared" si="4"/>
        <v>20000</v>
      </c>
      <c r="C44" s="1" t="str">
        <f>MID(A44,7,6)</f>
        <v>Monday</v>
      </c>
      <c r="D44" s="10" t="str">
        <f>MID(A44,14,1)</f>
        <v>0</v>
      </c>
      <c r="E44" s="1" t="str">
        <f t="shared" si="3"/>
        <v>Sunday</v>
      </c>
      <c r="F44" s="10" t="str">
        <f>RIGHT(A44,2)</f>
        <v>52</v>
      </c>
    </row>
    <row r="45" spans="1:6" x14ac:dyDescent="0.3">
      <c r="A45" s="46" t="s">
        <v>171</v>
      </c>
      <c r="B45" s="10" t="str">
        <f t="shared" si="4"/>
        <v>20000</v>
      </c>
      <c r="C45" s="1" t="str">
        <f t="shared" si="2"/>
        <v>Monday</v>
      </c>
      <c r="D45" s="10" t="str">
        <f t="shared" si="0"/>
        <v>0</v>
      </c>
      <c r="E45" s="1" t="str">
        <f>MID(A45,16,6)</f>
        <v>Sunday</v>
      </c>
      <c r="F45" s="10" t="str">
        <f t="shared" si="1"/>
        <v>53</v>
      </c>
    </row>
    <row r="46" spans="1:6" x14ac:dyDescent="0.3">
      <c r="A46" s="46" t="s">
        <v>172</v>
      </c>
      <c r="B46" s="10" t="str">
        <f t="shared" si="4"/>
        <v>20000</v>
      </c>
      <c r="C46" s="1" t="str">
        <f t="shared" si="2"/>
        <v>Monday</v>
      </c>
      <c r="D46" s="10" t="str">
        <f t="shared" si="0"/>
        <v>0</v>
      </c>
      <c r="E46" s="1" t="str">
        <f t="shared" si="3"/>
        <v>Sunday</v>
      </c>
      <c r="F46" s="10" t="str">
        <f t="shared" si="1"/>
        <v>54</v>
      </c>
    </row>
    <row r="47" spans="1:6" x14ac:dyDescent="0.3">
      <c r="A47" s="46" t="s">
        <v>173</v>
      </c>
      <c r="B47" s="10" t="str">
        <f t="shared" si="4"/>
        <v>20000</v>
      </c>
      <c r="C47" s="1" t="str">
        <f t="shared" si="2"/>
        <v>Monday</v>
      </c>
      <c r="D47" s="10" t="str">
        <f t="shared" si="0"/>
        <v>0</v>
      </c>
      <c r="E47" s="1" t="str">
        <f t="shared" si="3"/>
        <v>Sunday</v>
      </c>
      <c r="F47" s="10" t="str">
        <f t="shared" si="1"/>
        <v>55</v>
      </c>
    </row>
    <row r="48" spans="1:6" x14ac:dyDescent="0.3">
      <c r="A48" s="46" t="s">
        <v>174</v>
      </c>
      <c r="B48" s="10" t="str">
        <f t="shared" si="4"/>
        <v>20000</v>
      </c>
      <c r="C48" s="1" t="str">
        <f t="shared" si="2"/>
        <v>Monday</v>
      </c>
      <c r="D48" s="10" t="str">
        <f t="shared" si="0"/>
        <v>0</v>
      </c>
      <c r="E48" s="1" t="str">
        <f t="shared" si="3"/>
        <v>Sunday</v>
      </c>
      <c r="F48" s="10" t="str">
        <f t="shared" si="1"/>
        <v>56</v>
      </c>
    </row>
    <row r="49" spans="1:6" x14ac:dyDescent="0.3">
      <c r="A49" s="46" t="s">
        <v>175</v>
      </c>
      <c r="B49" s="10" t="str">
        <f t="shared" si="4"/>
        <v>20000</v>
      </c>
      <c r="C49" s="1" t="str">
        <f t="shared" si="2"/>
        <v>Monday</v>
      </c>
      <c r="D49" s="10" t="str">
        <f t="shared" si="0"/>
        <v>0</v>
      </c>
      <c r="E49" s="1" t="str">
        <f t="shared" si="3"/>
        <v>Sunday</v>
      </c>
      <c r="F49" s="10" t="str">
        <f t="shared" si="1"/>
        <v>57</v>
      </c>
    </row>
    <row r="50" spans="1:6" x14ac:dyDescent="0.3">
      <c r="A50" s="46" t="s">
        <v>176</v>
      </c>
      <c r="B50" s="10" t="str">
        <f t="shared" si="4"/>
        <v>20000</v>
      </c>
      <c r="C50" s="1" t="str">
        <f t="shared" si="2"/>
        <v>Monday</v>
      </c>
      <c r="D50" s="10" t="str">
        <f t="shared" si="0"/>
        <v>0</v>
      </c>
      <c r="E50" s="1" t="str">
        <f t="shared" si="3"/>
        <v>Sunday</v>
      </c>
      <c r="F50" s="10" t="str">
        <f t="shared" si="1"/>
        <v>58</v>
      </c>
    </row>
    <row r="51" spans="1:6" x14ac:dyDescent="0.3">
      <c r="A51" s="46" t="s">
        <v>177</v>
      </c>
      <c r="B51" s="10" t="str">
        <f t="shared" si="4"/>
        <v>20000</v>
      </c>
      <c r="C51" s="1" t="str">
        <f t="shared" si="2"/>
        <v>Monday</v>
      </c>
      <c r="D51" s="10" t="str">
        <f t="shared" si="0"/>
        <v>0</v>
      </c>
      <c r="E51" s="1" t="str">
        <f t="shared" si="3"/>
        <v>Sunday</v>
      </c>
      <c r="F51" s="10" t="str">
        <f t="shared" si="1"/>
        <v>59</v>
      </c>
    </row>
    <row r="52" spans="1:6" x14ac:dyDescent="0.3">
      <c r="A52" s="46" t="s">
        <v>178</v>
      </c>
      <c r="B52" s="10" t="str">
        <f t="shared" si="4"/>
        <v>20000</v>
      </c>
      <c r="C52" s="1" t="str">
        <f t="shared" si="2"/>
        <v>Monday</v>
      </c>
      <c r="D52" s="10" t="str">
        <f t="shared" si="0"/>
        <v>0</v>
      </c>
      <c r="E52" s="1" t="str">
        <f t="shared" si="3"/>
        <v>Sunday</v>
      </c>
      <c r="F52" s="10" t="str">
        <f t="shared" si="1"/>
        <v>60</v>
      </c>
    </row>
    <row r="53" spans="1:6" x14ac:dyDescent="0.3">
      <c r="A53" s="46" t="s">
        <v>179</v>
      </c>
      <c r="B53" s="10" t="str">
        <f>LEFT($A53,5)</f>
        <v>20000</v>
      </c>
      <c r="C53" s="1" t="str">
        <f t="shared" si="2"/>
        <v>Monday</v>
      </c>
      <c r="D53" s="10" t="str">
        <f t="shared" si="0"/>
        <v>0</v>
      </c>
      <c r="E53" s="1" t="str">
        <f t="shared" si="3"/>
        <v>Sunday</v>
      </c>
      <c r="F53" s="10" t="str">
        <f t="shared" si="1"/>
        <v>61</v>
      </c>
    </row>
    <row r="54" spans="1:6" x14ac:dyDescent="0.3">
      <c r="A54" s="46" t="s">
        <v>180</v>
      </c>
      <c r="B54" s="10" t="str">
        <f t="shared" si="4"/>
        <v>20000</v>
      </c>
      <c r="C54" s="1" t="str">
        <f t="shared" si="2"/>
        <v>Monday</v>
      </c>
      <c r="D54" s="10" t="str">
        <f>MID(A54,14,1)</f>
        <v>0</v>
      </c>
      <c r="E54" s="1" t="str">
        <f t="shared" si="3"/>
        <v>Sunday</v>
      </c>
      <c r="F54" s="10" t="str">
        <f>RIGHT(A54,2)</f>
        <v>62</v>
      </c>
    </row>
    <row r="55" spans="1:6" x14ac:dyDescent="0.3">
      <c r="F55" s="10" t="str">
        <f t="shared" si="1"/>
        <v/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F23" sqref="F2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85</v>
      </c>
      <c r="B1" s="39" t="s">
        <v>129</v>
      </c>
    </row>
    <row r="2" spans="1:3" ht="18" x14ac:dyDescent="0.35">
      <c r="B2" s="38" t="s">
        <v>128</v>
      </c>
    </row>
    <row r="5" spans="1:3" ht="14.4" x14ac:dyDescent="0.3">
      <c r="B5" s="1" t="s">
        <v>113</v>
      </c>
    </row>
    <row r="6" spans="1:3" ht="14.4" x14ac:dyDescent="0.3">
      <c r="A6" s="3" t="s">
        <v>53</v>
      </c>
      <c r="B6" s="1" t="s">
        <v>139</v>
      </c>
    </row>
    <row r="7" spans="1:3" ht="14.4" x14ac:dyDescent="0.3">
      <c r="A7" s="3" t="s">
        <v>115</v>
      </c>
      <c r="B7" s="49" t="s">
        <v>140</v>
      </c>
      <c r="C7" s="44"/>
    </row>
    <row r="8" spans="1:3" x14ac:dyDescent="0.3">
      <c r="B8" s="2" t="s">
        <v>141</v>
      </c>
    </row>
    <row r="9" spans="1:3" ht="14.4" x14ac:dyDescent="0.3">
      <c r="B9" s="54" t="s">
        <v>142</v>
      </c>
      <c r="C9" s="53"/>
    </row>
    <row r="10" spans="1:3" ht="23.4" x14ac:dyDescent="0.45">
      <c r="A10" s="16" t="s">
        <v>124</v>
      </c>
    </row>
    <row r="11" spans="1:3" ht="14.4" x14ac:dyDescent="0.3">
      <c r="A11" s="30" t="s">
        <v>86</v>
      </c>
      <c r="B11" s="15" t="s">
        <v>87</v>
      </c>
      <c r="C11" s="15" t="s">
        <v>88</v>
      </c>
    </row>
    <row r="12" spans="1:3" ht="14.4" x14ac:dyDescent="0.3">
      <c r="A12" s="30">
        <v>44927</v>
      </c>
      <c r="B12" s="15" t="s">
        <v>59</v>
      </c>
      <c r="C12" s="15">
        <v>200</v>
      </c>
    </row>
    <row r="13" spans="1:3" ht="14.4" x14ac:dyDescent="0.3">
      <c r="A13" s="30">
        <v>44928</v>
      </c>
      <c r="B13" s="15" t="s">
        <v>60</v>
      </c>
      <c r="C13" s="15" t="e">
        <v>#N/A</v>
      </c>
    </row>
    <row r="14" spans="1:3" ht="14.4" x14ac:dyDescent="0.3">
      <c r="A14" s="30">
        <v>44929</v>
      </c>
      <c r="B14" s="15" t="s">
        <v>61</v>
      </c>
      <c r="C14" s="15">
        <v>50</v>
      </c>
    </row>
    <row r="15" spans="1:3" ht="14.4" x14ac:dyDescent="0.3">
      <c r="A15" s="30">
        <v>44930</v>
      </c>
      <c r="B15" s="15" t="s">
        <v>62</v>
      </c>
      <c r="C15" s="15" t="e">
        <v>#N/A</v>
      </c>
    </row>
    <row r="16" spans="1:3" ht="14.4" x14ac:dyDescent="0.3">
      <c r="A16" s="30">
        <v>44931</v>
      </c>
      <c r="B16" s="15" t="s">
        <v>63</v>
      </c>
      <c r="C16" s="15">
        <v>10</v>
      </c>
    </row>
    <row r="17" spans="1:3" ht="14.4" x14ac:dyDescent="0.3">
      <c r="A17" s="30">
        <v>44932</v>
      </c>
      <c r="B17" s="15" t="s">
        <v>116</v>
      </c>
      <c r="C17" s="15">
        <v>150</v>
      </c>
    </row>
    <row r="18" spans="1:3" ht="14.4" x14ac:dyDescent="0.3">
      <c r="A18" s="30">
        <v>44933</v>
      </c>
      <c r="B18" s="15" t="s">
        <v>117</v>
      </c>
      <c r="C18" s="15">
        <v>80</v>
      </c>
    </row>
    <row r="19" spans="1:3" ht="14.4" x14ac:dyDescent="0.3">
      <c r="A19" s="30">
        <v>44934</v>
      </c>
      <c r="B19" s="15" t="s">
        <v>118</v>
      </c>
      <c r="C19" s="15" t="e">
        <v>#N/A</v>
      </c>
    </row>
    <row r="20" spans="1:3" ht="14.4" x14ac:dyDescent="0.3">
      <c r="A20" s="30">
        <v>44935</v>
      </c>
      <c r="B20" s="15" t="s">
        <v>119</v>
      </c>
      <c r="C20" s="15">
        <v>30</v>
      </c>
    </row>
    <row r="21" spans="1:3" ht="14.4" x14ac:dyDescent="0.3">
      <c r="A21" s="30">
        <v>44936</v>
      </c>
      <c r="B21" s="15" t="s">
        <v>120</v>
      </c>
      <c r="C21" s="15" t="e">
        <v>#N/A</v>
      </c>
    </row>
    <row r="22" spans="1:3" ht="14.4" x14ac:dyDescent="0.3">
      <c r="B22" s="15" t="s">
        <v>121</v>
      </c>
      <c r="C22" s="23" cm="1">
        <f t="array" ref="C22">SUM(IF(ISNA(C12:C21),20,C12:C21))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9" zoomScaleNormal="100" workbookViewId="0">
      <selection activeCell="P27" sqref="P27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137</v>
      </c>
    </row>
    <row r="3" spans="1:14" ht="14.4" x14ac:dyDescent="0.3">
      <c r="B3" s="1" t="s">
        <v>113</v>
      </c>
    </row>
    <row r="4" spans="1:14" ht="18" x14ac:dyDescent="0.35">
      <c r="A4" s="41" t="s">
        <v>53</v>
      </c>
      <c r="B4" s="1"/>
    </row>
    <row r="5" spans="1:14" ht="18" x14ac:dyDescent="0.35">
      <c r="A5" s="41" t="s">
        <v>115</v>
      </c>
      <c r="B5" s="1"/>
    </row>
    <row r="6" spans="1:14" ht="14.4" x14ac:dyDescent="0.3">
      <c r="A6" s="3"/>
      <c r="B6" s="1"/>
    </row>
    <row r="8" spans="1:14" ht="23.4" x14ac:dyDescent="0.45">
      <c r="A8" s="16" t="s">
        <v>124</v>
      </c>
      <c r="M8" s="16" t="s">
        <v>125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4" x14ac:dyDescent="0.45">
      <c r="A21" s="16" t="s">
        <v>130</v>
      </c>
    </row>
    <row r="22" spans="1:14" ht="14.4" x14ac:dyDescent="0.3">
      <c r="A22" s="12" t="s">
        <v>100</v>
      </c>
      <c r="B22" s="15" t="s">
        <v>101</v>
      </c>
      <c r="C22" s="14" t="s">
        <v>102</v>
      </c>
    </row>
    <row r="23" spans="1:14" ht="14.4" x14ac:dyDescent="0.3">
      <c r="A23" s="7">
        <v>10100</v>
      </c>
      <c r="B23" s="10">
        <v>10102</v>
      </c>
      <c r="C23" s="42"/>
    </row>
    <row r="24" spans="1:14" ht="14.4" x14ac:dyDescent="0.3">
      <c r="A24" s="7">
        <v>10100</v>
      </c>
      <c r="B24" s="10">
        <v>10104</v>
      </c>
      <c r="C24" s="42"/>
    </row>
    <row r="25" spans="1:14" ht="14.4" x14ac:dyDescent="0.3">
      <c r="A25" s="7">
        <v>10108</v>
      </c>
      <c r="B25" s="10">
        <v>10102</v>
      </c>
      <c r="C25" s="42"/>
    </row>
    <row r="26" spans="1:14" ht="14.4" x14ac:dyDescent="0.3">
      <c r="A26" s="7">
        <v>10100</v>
      </c>
      <c r="B26" s="10">
        <v>10106</v>
      </c>
      <c r="C26" s="42"/>
    </row>
    <row r="27" spans="1:14" ht="14.4" x14ac:dyDescent="0.3">
      <c r="A27" s="7">
        <v>10108</v>
      </c>
      <c r="B27" s="10">
        <v>10110</v>
      </c>
      <c r="C27" s="42"/>
    </row>
    <row r="28" spans="1:14" ht="14.4" x14ac:dyDescent="0.3">
      <c r="A28" s="7">
        <v>10102</v>
      </c>
      <c r="B28" s="10">
        <v>10104</v>
      </c>
      <c r="C28" s="42"/>
    </row>
    <row r="29" spans="1:14" ht="14.4" x14ac:dyDescent="0.3">
      <c r="A29" s="7">
        <v>10106</v>
      </c>
      <c r="B29" s="10">
        <v>10108</v>
      </c>
      <c r="C29" s="42"/>
    </row>
    <row r="30" spans="1:14" ht="14.4" x14ac:dyDescent="0.3">
      <c r="A30" s="7">
        <v>10102</v>
      </c>
      <c r="B30" s="10">
        <v>10106</v>
      </c>
      <c r="C30" s="42"/>
    </row>
    <row r="31" spans="1:14" ht="14.4" x14ac:dyDescent="0.3">
      <c r="A31" s="7">
        <v>10110</v>
      </c>
      <c r="B31" s="10">
        <v>10114</v>
      </c>
      <c r="C31" s="42"/>
    </row>
    <row r="32" spans="1:14" ht="14.4" x14ac:dyDescent="0.3">
      <c r="A32" s="7">
        <v>10104</v>
      </c>
      <c r="B32" s="10">
        <v>10106</v>
      </c>
      <c r="C32" s="42"/>
    </row>
    <row r="33" spans="1:3" ht="14.4" x14ac:dyDescent="0.3">
      <c r="A33" s="7">
        <v>10110</v>
      </c>
      <c r="B33" s="10">
        <v>10112</v>
      </c>
      <c r="C33" s="42"/>
    </row>
    <row r="34" spans="1:3" ht="14.4" x14ac:dyDescent="0.3">
      <c r="A34" s="7">
        <v>10100</v>
      </c>
      <c r="B34" s="10">
        <v>10114</v>
      </c>
      <c r="C34" s="42"/>
    </row>
    <row r="35" spans="1:3" ht="14.4" x14ac:dyDescent="0.3">
      <c r="A35" s="8">
        <v>10112</v>
      </c>
      <c r="B35" s="11">
        <v>10116</v>
      </c>
      <c r="C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Prateek Tripathi</cp:lastModifiedBy>
  <dcterms:created xsi:type="dcterms:W3CDTF">2015-02-10T17:33:11Z</dcterms:created>
  <dcterms:modified xsi:type="dcterms:W3CDTF">2023-12-10T16:27:00Z</dcterms:modified>
</cp:coreProperties>
</file>